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PC\Desktop\Textile\"/>
    </mc:Choice>
  </mc:AlternateContent>
  <xr:revisionPtr revIDLastSave="0" documentId="13_ncr:1_{E1DACEEC-F10B-4DF7-8CCE-3B85A9F0CC67}" xr6:coauthVersionLast="47" xr6:coauthVersionMax="47" xr10:uidLastSave="{00000000-0000-0000-0000-000000000000}"/>
  <bookViews>
    <workbookView xWindow="-28920" yWindow="-120" windowWidth="29040" windowHeight="15840" firstSheet="3" activeTab="11" xr2:uid="{BE6383B5-97E8-4958-8138-A6F883C3DBFC}"/>
  </bookViews>
  <sheets>
    <sheet name="read first" sheetId="2" r:id="rId1"/>
    <sheet name="Material  list" sheetId="1" r:id="rId2"/>
    <sheet name="LCA results" sheetId="3" r:id="rId3"/>
    <sheet name="Garmet comparison" sheetId="4" r:id="rId4"/>
    <sheet name="Parameters" sheetId="9" r:id="rId5"/>
    <sheet name="Sources" sheetId="10" state="hidden" r:id="rId6"/>
    <sheet name="Materials" sheetId="11" r:id="rId7"/>
    <sheet name="Garments" sheetId="12" r:id="rId8"/>
    <sheet name="Parameters (2)" sheetId="14" r:id="rId9"/>
    <sheet name="Materials (2)" sheetId="15" r:id="rId10"/>
    <sheet name="Sample_Products" sheetId="16" r:id="rId11"/>
    <sheet name="Examples_Notes" sheetId="17" r:id="rId12"/>
    <sheet name="Sheet1" sheetId="13" r:id="rId13"/>
  </sheets>
  <externalReferences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6" l="1"/>
  <c r="N2" i="16"/>
  <c r="S2" i="16" s="1"/>
  <c r="O2" i="16"/>
  <c r="P2" i="16"/>
  <c r="Q2" i="16"/>
  <c r="R2" i="16"/>
  <c r="T2" i="16"/>
  <c r="U2" i="16"/>
  <c r="V2" i="16"/>
  <c r="W2" i="16"/>
  <c r="X2" i="16"/>
  <c r="Y2" i="16"/>
  <c r="Z2" i="16"/>
  <c r="AA2" i="16" s="1"/>
  <c r="M3" i="16"/>
  <c r="R3" i="16" s="1"/>
  <c r="N3" i="16"/>
  <c r="O3" i="16"/>
  <c r="T3" i="16" s="1"/>
  <c r="P3" i="16"/>
  <c r="Q3" i="16"/>
  <c r="S3" i="16"/>
  <c r="U3" i="16"/>
  <c r="Z3" i="16" s="1"/>
  <c r="AA3" i="16" s="1"/>
  <c r="V3" i="16"/>
  <c r="W3" i="16"/>
  <c r="X3" i="16"/>
  <c r="Y3" i="16"/>
  <c r="M4" i="16"/>
  <c r="N4" i="16"/>
  <c r="S4" i="16" s="1"/>
  <c r="O4" i="16"/>
  <c r="P4" i="16"/>
  <c r="Q4" i="16"/>
  <c r="R4" i="16"/>
  <c r="T4" i="16"/>
  <c r="U4" i="16"/>
  <c r="V4" i="16"/>
  <c r="Z4" i="16" s="1"/>
  <c r="AA4" i="16" s="1"/>
  <c r="W4" i="16"/>
  <c r="X4" i="16"/>
  <c r="Y4" i="16"/>
  <c r="M5" i="16"/>
  <c r="R5" i="16" s="1"/>
  <c r="N5" i="16"/>
  <c r="O5" i="16"/>
  <c r="T5" i="16" s="1"/>
  <c r="P5" i="16"/>
  <c r="Q5" i="16"/>
  <c r="S5" i="16"/>
  <c r="V5" i="16"/>
  <c r="X5" i="16"/>
  <c r="Y5" i="16"/>
  <c r="M6" i="16"/>
  <c r="N6" i="16"/>
  <c r="S6" i="16" s="1"/>
  <c r="O6" i="16"/>
  <c r="P6" i="16"/>
  <c r="X6" i="16" s="1"/>
  <c r="Q6" i="16"/>
  <c r="R6" i="16"/>
  <c r="T6" i="16"/>
  <c r="U6" i="16"/>
  <c r="W6" i="16"/>
  <c r="Y6" i="16"/>
  <c r="M7" i="16"/>
  <c r="N7" i="16"/>
  <c r="O7" i="16"/>
  <c r="T7" i="16" s="1"/>
  <c r="P7" i="16"/>
  <c r="Q7" i="16"/>
  <c r="Y7" i="16" s="1"/>
  <c r="R7" i="16"/>
  <c r="S7" i="16"/>
  <c r="U7" i="16"/>
  <c r="V7" i="16"/>
  <c r="X7" i="16"/>
  <c r="M8" i="16"/>
  <c r="N8" i="16"/>
  <c r="O8" i="16"/>
  <c r="P8" i="16"/>
  <c r="X8" i="16" s="1"/>
  <c r="Z8" i="16" s="1"/>
  <c r="AA8" i="16" s="1"/>
  <c r="Q8" i="16"/>
  <c r="R8" i="16"/>
  <c r="S8" i="16"/>
  <c r="T8" i="16"/>
  <c r="U8" i="16"/>
  <c r="V8" i="16"/>
  <c r="W8" i="16"/>
  <c r="Y8" i="16"/>
  <c r="F2" i="12"/>
  <c r="K2" i="12" s="1"/>
  <c r="B11" i="12" s="1"/>
  <c r="G2" i="12"/>
  <c r="H2" i="12"/>
  <c r="M2" i="12" s="1"/>
  <c r="D11" i="12" s="1"/>
  <c r="I2" i="12"/>
  <c r="J2" i="12"/>
  <c r="L2" i="12"/>
  <c r="C11" i="12" s="1"/>
  <c r="N2" i="12"/>
  <c r="O2" i="12"/>
  <c r="P2" i="12"/>
  <c r="Q2" i="12"/>
  <c r="R2" i="12"/>
  <c r="F3" i="12"/>
  <c r="G3" i="12"/>
  <c r="L3" i="12" s="1"/>
  <c r="C12" i="12" s="1"/>
  <c r="H3" i="12"/>
  <c r="I3" i="12"/>
  <c r="J3" i="12"/>
  <c r="K3" i="12"/>
  <c r="M3" i="12"/>
  <c r="D12" i="12" s="1"/>
  <c r="N3" i="12"/>
  <c r="O3" i="12"/>
  <c r="P3" i="12"/>
  <c r="Q3" i="12"/>
  <c r="R3" i="12"/>
  <c r="F4" i="12"/>
  <c r="N4" i="12" s="1"/>
  <c r="G4" i="12"/>
  <c r="H4" i="12"/>
  <c r="M4" i="12" s="1"/>
  <c r="D13" i="12" s="1"/>
  <c r="I4" i="12"/>
  <c r="J4" i="12"/>
  <c r="L4" i="12"/>
  <c r="O4" i="12"/>
  <c r="P4" i="12"/>
  <c r="Q4" i="12"/>
  <c r="R4" i="12"/>
  <c r="F5" i="12"/>
  <c r="G5" i="12"/>
  <c r="L5" i="12" s="1"/>
  <c r="C14" i="12" s="1"/>
  <c r="H5" i="12"/>
  <c r="I5" i="12"/>
  <c r="J5" i="12"/>
  <c r="K5" i="12"/>
  <c r="M5" i="12"/>
  <c r="N5" i="12"/>
  <c r="P5" i="12"/>
  <c r="Q5" i="12"/>
  <c r="R5" i="12"/>
  <c r="F6" i="12"/>
  <c r="G6" i="12"/>
  <c r="H6" i="12"/>
  <c r="M6" i="12" s="1"/>
  <c r="D14" i="12" s="1"/>
  <c r="I6" i="12"/>
  <c r="J6" i="12"/>
  <c r="K6" i="12"/>
  <c r="L6" i="12"/>
  <c r="N6" i="12"/>
  <c r="O6" i="12"/>
  <c r="Q6" i="12"/>
  <c r="R6" i="12"/>
  <c r="F7" i="12"/>
  <c r="G7" i="12"/>
  <c r="H7" i="12"/>
  <c r="I7" i="12"/>
  <c r="Q7" i="12" s="1"/>
  <c r="J7" i="12"/>
  <c r="K7" i="12"/>
  <c r="L7" i="12"/>
  <c r="M7" i="12"/>
  <c r="N7" i="12"/>
  <c r="O7" i="12"/>
  <c r="P7" i="12"/>
  <c r="R7" i="12"/>
  <c r="B12" i="12"/>
  <c r="C13" i="12"/>
  <c r="B14" i="12"/>
  <c r="J11" i="4"/>
  <c r="I11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J5" i="4"/>
  <c r="I5" i="4"/>
  <c r="H5" i="4"/>
  <c r="J4" i="4"/>
  <c r="I4" i="4"/>
  <c r="H4" i="4"/>
  <c r="J3" i="4"/>
  <c r="I3" i="4"/>
  <c r="H3" i="4"/>
  <c r="J2" i="4"/>
  <c r="I2" i="4"/>
  <c r="H2" i="4"/>
  <c r="W5" i="16" l="1"/>
  <c r="W7" i="16"/>
  <c r="Z7" i="16" s="1"/>
  <c r="AA7" i="16" s="1"/>
  <c r="V6" i="16"/>
  <c r="Z6" i="16" s="1"/>
  <c r="AA6" i="16" s="1"/>
  <c r="U5" i="16"/>
  <c r="Z5" i="16" s="1"/>
  <c r="AA5" i="16" s="1"/>
  <c r="S7" i="12"/>
  <c r="T7" i="12" s="1"/>
  <c r="S3" i="12"/>
  <c r="T3" i="12" s="1"/>
  <c r="S4" i="12"/>
  <c r="S2" i="12"/>
  <c r="T2" i="12" s="1"/>
  <c r="T4" i="12"/>
  <c r="E13" i="12"/>
  <c r="E11" i="12"/>
  <c r="E12" i="12"/>
  <c r="P6" i="12"/>
  <c r="S6" i="12" s="1"/>
  <c r="T6" i="12" s="1"/>
  <c r="O5" i="12"/>
  <c r="S5" i="12" s="1"/>
  <c r="K4" i="12"/>
  <c r="B13" i="12" s="1"/>
  <c r="E14" i="12" l="1"/>
  <c r="T5" i="12"/>
</calcChain>
</file>

<file path=xl/sharedStrings.xml><?xml version="1.0" encoding="utf-8"?>
<sst xmlns="http://schemas.openxmlformats.org/spreadsheetml/2006/main" count="771" uniqueCount="524">
  <si>
    <t>Material / Component</t>
  </si>
  <si>
    <t>Category</t>
  </si>
  <si>
    <t>Key Properties / Typical Uses / Notes</t>
  </si>
  <si>
    <t>Cotton</t>
  </si>
  <si>
    <t>Natural fiber</t>
  </si>
  <si>
    <t>Silk</t>
  </si>
  <si>
    <t>Natural fiber (animal)</t>
  </si>
  <si>
    <t>Hemp</t>
  </si>
  <si>
    <t>Jute</t>
  </si>
  <si>
    <t>Modal</t>
  </si>
  <si>
    <t>Acetate</t>
  </si>
  <si>
    <t>Polyester</t>
  </si>
  <si>
    <t>Nylon (Polyamide)</t>
  </si>
  <si>
    <t>Acrylic</t>
  </si>
  <si>
    <t>Elastane / Spandex / Lycra</t>
  </si>
  <si>
    <t>Recycled Polyester (rPET)</t>
  </si>
  <si>
    <t>Soft, breathable, highly versatile; used for shirts, t-shirts, underwear, denim.</t>
  </si>
  <si>
    <t>Wool</t>
  </si>
  <si>
    <t>Warm, insulating, odor-resistant; used for sweaters, coats, knitwear.</t>
  </si>
  <si>
    <t>Merino Wool</t>
  </si>
  <si>
    <t>Finer wool; lightweight, temperature-regulating; used in activewear, base layers.</t>
  </si>
  <si>
    <t>Cashmere</t>
  </si>
  <si>
    <t>Very soft and insulating; used for luxury knitwear, scarves.</t>
  </si>
  <si>
    <t>Alpaca</t>
  </si>
  <si>
    <t>Soft, hypoallergenic, warmer than wool; used for premium knitwear.</t>
  </si>
  <si>
    <t>Mohair</t>
  </si>
  <si>
    <t>Silky, durable, lustrous; used for sweaters, suits, specialty fabrics.</t>
  </si>
  <si>
    <t>Smooth, drapey, luxurious; used for dresses, blouses, linings.</t>
  </si>
  <si>
    <t>Linen (Flax)</t>
  </si>
  <si>
    <t>Breathable, strong, textured; ideal for summer garments.</t>
  </si>
  <si>
    <t>Durable, eco-friendly, breathable; used for sustainable apparel.</t>
  </si>
  <si>
    <t>Coarse, strong; used in accessories, bags, home textiles.</t>
  </si>
  <si>
    <t>Bamboo (Viscose form)</t>
  </si>
  <si>
    <t>Natural/Semi-synthetic</t>
  </si>
  <si>
    <t>Soft, smooth; often found in activewear, loungewear.</t>
  </si>
  <si>
    <t>Viscose / Rayon</t>
  </si>
  <si>
    <t>Semi-synthetic</t>
  </si>
  <si>
    <t>Soft, silky, drapey; used for dresses, blouses, linings.</t>
  </si>
  <si>
    <t>Lyocell (Tencel)</t>
  </si>
  <si>
    <t>Breathable, strong, moisture-wicking; used for shirts, dresses, bedding.</t>
  </si>
  <si>
    <t>Soft, stretchy, absorbent; used in underwear and loungewear.</t>
  </si>
  <si>
    <t>Smooth, shiny; common in linings, formalwear.</t>
  </si>
  <si>
    <t>Cupro</t>
  </si>
  <si>
    <t>Silk-like regeneration fiber; luxury linings and dresses.</t>
  </si>
  <si>
    <t>Synthetic</t>
  </si>
  <si>
    <t>Durable, wrinkle-resistant; used for most apparel, sportswear, outerwear.</t>
  </si>
  <si>
    <t>Strong, elastic, abrasion-resistant; used for activewear, outerwear, swimwear.</t>
  </si>
  <si>
    <t>Warm, lightweight wool alternative; used for sweaters and knitwear.</t>
  </si>
  <si>
    <t>High stretch; blended into many fabrics for elasticity.</t>
  </si>
  <si>
    <t>Polypropylene</t>
  </si>
  <si>
    <t>Lightweight, moisture-wicking; used for technical apparel.</t>
  </si>
  <si>
    <t>Recycled synthetic</t>
  </si>
  <si>
    <t>Made from recycled plastics; used for activewear, outerwear, bags.</t>
  </si>
  <si>
    <t>Recycled Nylon</t>
  </si>
  <si>
    <t>Derived from ocean waste/fabrics; used in swimwear, outerwear.</t>
  </si>
  <si>
    <t>Recycled Cotton</t>
  </si>
  <si>
    <t>Recycled natural</t>
  </si>
  <si>
    <t>Repurposed cotton waste; used in sustainable collections.</t>
  </si>
  <si>
    <t>Recycled Wool</t>
  </si>
  <si>
    <t>Re-spun wool garments; used for eco-friendly knitwear.</t>
  </si>
  <si>
    <t>Vegan Leather (PU-based)</t>
  </si>
  <si>
    <t>Vegan material</t>
  </si>
  <si>
    <t>Smooth, flexible; used in bags, jackets, footwear.</t>
  </si>
  <si>
    <t>Vegan Leather (PVC-based)</t>
  </si>
  <si>
    <t>Cheaper, shiny; used in low-cost faux leather goods.</t>
  </si>
  <si>
    <t>Plant-based Leathers (Mushroom, Apple, Pineapple, Corn, Cactus)</t>
  </si>
  <si>
    <t>Vegan biomaterial</t>
  </si>
  <si>
    <t>Sustainable alternatives; premium accessories and footwear.</t>
  </si>
  <si>
    <t>Rubberized Fabrics</t>
  </si>
  <si>
    <t>Coating/technical</t>
  </si>
  <si>
    <t>Waterproof; used for rainwear, bags.</t>
  </si>
  <si>
    <t>PU-coated Fabrics</t>
  </si>
  <si>
    <t>Coating/finish</t>
  </si>
  <si>
    <t>Water-resistant surface; outerwear, backpacks, technical wear.</t>
  </si>
  <si>
    <t>PVC-coated Fabrics</t>
  </si>
  <si>
    <t>Waterproof, glossy; raincoats, bags, fashion items.</t>
  </si>
  <si>
    <t>DWR (Durable Water Repellent) Coating</t>
  </si>
  <si>
    <t>Finish</t>
  </si>
  <si>
    <t>Makes fabrics water-repellent; used in outerwear.</t>
  </si>
  <si>
    <t>Laminated Fabrics (2-Layer, 3-Layer)</t>
  </si>
  <si>
    <t>Technical textile</t>
  </si>
  <si>
    <t>Waterproof, breathable layers; used in outdoor and performance gear.</t>
  </si>
  <si>
    <t>Bonded Fabrics</t>
  </si>
  <si>
    <t>Two fabrics fused; structure and weather resistance.</t>
  </si>
  <si>
    <t>Metal Zippers (Brass, Nickel, Aluminum)</t>
  </si>
  <si>
    <t>Trim/Hardware</t>
  </si>
  <si>
    <t>Durable fastening; used in outerwear, bags.</t>
  </si>
  <si>
    <t>Plastic Coil Zippers</t>
  </si>
  <si>
    <t>Lightweight; most common zipper for apparel.</t>
  </si>
  <si>
    <t>Molded Plastic Zippers</t>
  </si>
  <si>
    <t>Chunky teeth; used in sportswear, kids’ clothing.</t>
  </si>
  <si>
    <t>Buttons (Plastic, Metal, Wood, Shell, Corozo)</t>
  </si>
  <si>
    <t>Trim</t>
  </si>
  <si>
    <t>Fasteners; material chosen for style, cost, sustainability.</t>
  </si>
  <si>
    <t>Snaps / Press Studs</t>
  </si>
  <si>
    <t>Hardware</t>
  </si>
  <si>
    <t>Used in jackets, babywear, shirts.</t>
  </si>
  <si>
    <t>Buckles, Rings, Sliders</t>
  </si>
  <si>
    <t>Used for bags, belts, straps, sportswear.</t>
  </si>
  <si>
    <t>Elastic Bands</t>
  </si>
  <si>
    <t>Waistbands, cuffs, sportswear.</t>
  </si>
  <si>
    <t>Interlinings (Woven, Nonwoven, Fusible)</t>
  </si>
  <si>
    <t>Construction material</t>
  </si>
  <si>
    <t>Provides structure to collars, waistbands, plackets.</t>
  </si>
  <si>
    <t>Threads (Polyester, Cotton, Nylon, Core-spun)</t>
  </si>
  <si>
    <t>Used for stitching; polyester is most common.</t>
  </si>
  <si>
    <t>Velcro / Hook-and-loop</t>
  </si>
  <si>
    <t>Closures for functional apparel.</t>
  </si>
  <si>
    <t>Canvas (Cotton, Polyester, Blends)</t>
  </si>
  <si>
    <t>Material</t>
  </si>
  <si>
    <t>Sturdy, used for bags, jackets, footwear.</t>
  </si>
  <si>
    <t>Denim</t>
  </si>
  <si>
    <t>Cotton twill, sometimes blended with elastane; jeans, jackets.</t>
  </si>
  <si>
    <t>Fleece (Polyester or Recycled)</t>
  </si>
  <si>
    <t>Warm, insulating; outdoor clothing.</t>
  </si>
  <si>
    <t>Softshell Fabrics</t>
  </si>
  <si>
    <t>Stretchy, water-resistant; active/outdoor wear.</t>
  </si>
  <si>
    <t>Numbers are industry-average estimates / typical ranges and refer to cradle-to-gate or upstream production in most cited sources unless otherwise stat
LCA values vary by country, energy mix, feedstock (e.g., virgin vs recycled), and process. I give ranges and flag when values are highly variable.
Primary sources used (detailed below): TENCEL™ LCA claim snapshots, CE Delft recycling LCA, Climatiq / OEKOBAUDAT nylon emission factors, recent cotton LCA literature, Textile Exchange reports and aggregated LCA studies. I cite source IDs after the table so you can open the originals.</t>
  </si>
  <si>
    <t>GHG (kg CO₂e/kg)</t>
  </si>
  <si>
    <t>Water (L/kg)</t>
  </si>
  <si>
    <t>Energy (MJ/kg)</t>
  </si>
  <si>
    <t>Chemical / toxicity</t>
  </si>
  <si>
    <t>Circularity potential</t>
  </si>
  <si>
    <t>Cotton (conventional)</t>
  </si>
  <si>
    <t>0.9 – 3.5</t>
  </si>
  <si>
    <t>5,000 – 20,000</t>
  </si>
  <si>
    <t>20 – 80</t>
  </si>
  <si>
    <t>Fertilizers/pesticides; eutrophication risk</t>
  </si>
  <si>
    <t>Medium (mechanical recycle limits)</t>
  </si>
  <si>
    <t>Organic cotton</t>
  </si>
  <si>
    <t>0.5 – 2.5</t>
  </si>
  <si>
    <t>3,000 – 15,000</t>
  </si>
  <si>
    <t>20 – 90</t>
  </si>
  <si>
    <t>Lower synthetic pesticide use; soil management matters</t>
  </si>
  <si>
    <t>Medium</t>
  </si>
  <si>
    <t>Linen (flax)</t>
  </si>
  <si>
    <t>0.3 – 1.0</t>
  </si>
  <si>
    <t>300 – 3,000</t>
  </si>
  <si>
    <t>10 – 40</t>
  </si>
  <si>
    <t>Low agrochemical input generally</t>
  </si>
  <si>
    <t>Medium-High</t>
  </si>
  <si>
    <t>0.4 – 1.5</t>
  </si>
  <si>
    <t>100 – 2,000</t>
  </si>
  <si>
    <t>Low agrochemical needs if managed</t>
  </si>
  <si>
    <t>0.3 – 1.2</t>
  </si>
  <si>
    <t>200 – 2,000</t>
  </si>
  <si>
    <t>8 – 30</t>
  </si>
  <si>
    <t>Low to moderate agrochemicals</t>
  </si>
  <si>
    <t>Wool (average)</t>
  </si>
  <si>
    <t>5 – 20</t>
  </si>
  <si>
    <t>5,000 – 15,000</t>
  </si>
  <si>
    <t>40 – 150</t>
  </si>
  <si>
    <t>Methane from sheep; scouring chemicals</t>
  </si>
  <si>
    <t>Merino wool</t>
  </si>
  <si>
    <t>6 – 25</t>
  </si>
  <si>
    <t>6,000 – 18,000</t>
  </si>
  <si>
    <t>50 – 160</t>
  </si>
  <si>
    <t>Often pastoral impacts; pesticide dips possible</t>
  </si>
  <si>
    <t>10 – 70</t>
  </si>
  <si>
    <t>6,000 – 25,000</t>
  </si>
  <si>
    <t>60 – 250</t>
  </si>
  <si>
    <t>Low yields → high per-kg footprint; grazing impacts</t>
  </si>
  <si>
    <t>Medium-Low</t>
  </si>
  <si>
    <t>4 – 18</t>
  </si>
  <si>
    <t>2,000 – 12,000</t>
  </si>
  <si>
    <t>30 – 120</t>
  </si>
  <si>
    <t>Lower land degradation vs goat/cashmere</t>
  </si>
  <si>
    <t>4 – 20</t>
  </si>
  <si>
    <t>3,000 – 12,000</t>
  </si>
  <si>
    <t>30 – 140</t>
  </si>
  <si>
    <t>Similar to other animal fibers</t>
  </si>
  <si>
    <t>2 – 7</t>
  </si>
  <si>
    <t>2,000 – 8,000</t>
  </si>
  <si>
    <t>30 – 100</t>
  </si>
  <si>
    <t>Low agrochemical use in sericulture; processing chemicals possible</t>
  </si>
  <si>
    <t>Bamboo (viscose)</t>
  </si>
  <si>
    <t>1.0 – 5.0</t>
  </si>
  <si>
    <t>500 – 6,000</t>
  </si>
  <si>
    <t>Chemical viscose process impacts unless closed loop</t>
  </si>
  <si>
    <t>Viscose / Rayon (generic)</t>
  </si>
  <si>
    <t>1.5 – 6.0</t>
  </si>
  <si>
    <t>500 – 10,000</t>
  </si>
  <si>
    <t>CS₂ historically an issue; modern controls reduce risk</t>
  </si>
  <si>
    <t>Lyocell (Tencel / closed-loop)</t>
  </si>
  <si>
    <t>2.0 – 4.0</t>
  </si>
  <si>
    <t>500 – 1,500</t>
  </si>
  <si>
    <t>30 – 60</t>
  </si>
  <si>
    <t>Closed-loop solvent recovery = low emissions</t>
  </si>
  <si>
    <t>1.5 – 4.0</t>
  </si>
  <si>
    <t>500 – 2,000</t>
  </si>
  <si>
    <t>25 – 60</t>
  </si>
  <si>
    <t>Similar to viscose but often more efficient</t>
  </si>
  <si>
    <t>2.0 – 5.0</t>
  </si>
  <si>
    <t>500 – 2,500</t>
  </si>
  <si>
    <t>30 – 80</t>
  </si>
  <si>
    <t>Chemical recovery important; copper salts used in some routes</t>
  </si>
  <si>
    <t>1.5 – 5.0</t>
  </si>
  <si>
    <t>300 – 2,500</t>
  </si>
  <si>
    <t>25 – 80</t>
  </si>
  <si>
    <t>Solvent/chemical processing; finishing impacts</t>
  </si>
  <si>
    <t>Polyester (virgin PET fiber)</t>
  </si>
  <si>
    <t>2.4 – 8.0</t>
  </si>
  <si>
    <t>40 – 80</t>
  </si>
  <si>
    <t>Petrochemical feedstock; microplastics shedding</t>
  </si>
  <si>
    <t>Recycled polyester (rPET)</t>
  </si>
  <si>
    <t>0.7 – 2.0</t>
  </si>
  <si>
    <t>5 – 50</t>
  </si>
  <si>
    <t>15 – 40</t>
  </si>
  <si>
    <t>Lower fossil feedstock; contamination/washing chemicals</t>
  </si>
  <si>
    <t>High (if mono-stream)</t>
  </si>
  <si>
    <t>Nylon (PA6 / PA6.6 virgin)</t>
  </si>
  <si>
    <t>6 – 14</t>
  </si>
  <si>
    <t>40 – 200</t>
  </si>
  <si>
    <t>50 – 120</t>
  </si>
  <si>
    <t>Adipic/hexamethylenediamine chemistry; N₂O risk if unmitigated</t>
  </si>
  <si>
    <t>Recycled nylon (e.g., ECONYL)</t>
  </si>
  <si>
    <t>10 – 100</t>
  </si>
  <si>
    <t>Reduced upstream impacts; processing chemicals in depolymerization</t>
  </si>
  <si>
    <t>Medium-High (for dedicated streams)</t>
  </si>
  <si>
    <t>3 – 9</t>
  </si>
  <si>
    <t>20 – 150</t>
  </si>
  <si>
    <t>40 – 90</t>
  </si>
  <si>
    <t>Acrylonitrile monomer toxicity concerns if uncontrolled; microplastics</t>
  </si>
  <si>
    <t>Low-Medium</t>
  </si>
  <si>
    <t>Elastane / Spandex</t>
  </si>
  <si>
    <t>10 – 25</t>
  </si>
  <si>
    <t>80 – 200</t>
  </si>
  <si>
    <t>Isocyanates, solvents — significant chemical concerns in manufacture</t>
  </si>
  <si>
    <t>Low</t>
  </si>
  <si>
    <t>Polypropylene (PP)</t>
  </si>
  <si>
    <t>5 – 30</t>
  </si>
  <si>
    <t>20 – 50</t>
  </si>
  <si>
    <t>Petrochemical feedstock; low water use</t>
  </si>
  <si>
    <t>Polypropylene (technical nonwoven)</t>
  </si>
  <si>
    <t>20 – 60</t>
  </si>
  <si>
    <t>Similar to PP fiber</t>
  </si>
  <si>
    <t>PU (polyurethane) coated fabrics / PU leather</t>
  </si>
  <si>
    <t>Coating / synthetic</t>
  </si>
  <si>
    <t>3 – 12</t>
  </si>
  <si>
    <t>50 – 400</t>
  </si>
  <si>
    <t>30 – 150</t>
  </si>
  <si>
    <t>Isocyanate &amp; solvent issues, depends on water-based vs solvent-based</t>
  </si>
  <si>
    <t>PVC coated fabrics / PVC faux leather</t>
  </si>
  <si>
    <t>2 – 8</t>
  </si>
  <si>
    <t>50 – 500</t>
  </si>
  <si>
    <t>20 – 120</t>
  </si>
  <si>
    <t>Chlorine chemistry; possible phthalates and dioxin-related concerns</t>
  </si>
  <si>
    <t>Plant-based leathers (mushroom, pineapple, cactus, apple)</t>
  </si>
  <si>
    <t>Bio-based alternative</t>
  </si>
  <si>
    <t>0.5 – 6.0</t>
  </si>
  <si>
    <t>50 – 800</t>
  </si>
  <si>
    <t>10 – 80</t>
  </si>
  <si>
    <t>Typically lower petrochemical input; processing chemicals vary</t>
  </si>
  <si>
    <t>Medium (experimental; depends on composite construction)</t>
  </si>
  <si>
    <t>Leather (bovine, tanned)</t>
  </si>
  <si>
    <t>Animal hide</t>
  </si>
  <si>
    <t>15 – 60</t>
  </si>
  <si>
    <t>1,000 – 20,000</t>
  </si>
  <si>
    <t>100 – 400</t>
  </si>
  <si>
    <t>Tanning chemicals (chromium), effluent toxicity; cattle emissions dominate</t>
  </si>
  <si>
    <t>Medium (long lifetime but recycling/treatment complex)</t>
  </si>
  <si>
    <t>Denim (cotton twill, untreated)</t>
  </si>
  <si>
    <t>Material (fabric)</t>
  </si>
  <si>
    <t>1.0 – 4.0</t>
  </si>
  <si>
    <t>Denim finishing (stonewash, enzymes) raises water/chem use</t>
  </si>
  <si>
    <t>Canvas (cotton / polyester blends)</t>
  </si>
  <si>
    <t>300 – 10,000</t>
  </si>
  <si>
    <t>20 – 100</t>
  </si>
  <si>
    <t>Depends on fiber; coatings add chemicals</t>
  </si>
  <si>
    <t>Fleece (polyester or recycled)</t>
  </si>
  <si>
    <t>2.0 – 6.0</t>
  </si>
  <si>
    <t>20 – 200</t>
  </si>
  <si>
    <t>30 – 90</t>
  </si>
  <si>
    <t>Microfibre shedding; pigment/finish chemicals</t>
  </si>
  <si>
    <t>Softshell (technical)</t>
  </si>
  <si>
    <t>3.0 – 10.0</t>
  </si>
  <si>
    <t>50 – 300</t>
  </si>
  <si>
    <t>Laminates/PU/PFC treatments potential</t>
  </si>
  <si>
    <t>Laminated fabrics (2/3-layer)</t>
  </si>
  <si>
    <t>Technical</t>
  </si>
  <si>
    <t>4.0 – 12.0</t>
  </si>
  <si>
    <t>50 – 200</t>
  </si>
  <si>
    <t>Lamination adhesives, membranes (PTFE/PU) have chemical concerns</t>
  </si>
  <si>
    <t>Bonded fabrics</t>
  </si>
  <si>
    <t>30 – 300</t>
  </si>
  <si>
    <t>40 – 160</t>
  </si>
  <si>
    <t>Adhesives and bonding chemistries vary</t>
  </si>
  <si>
    <t>PU-coated outdoor fabrics</t>
  </si>
  <si>
    <t>3.0 – 12.0</t>
  </si>
  <si>
    <t>As PU coated fabrics above</t>
  </si>
  <si>
    <t>PVC-coated outdoor fabrics</t>
  </si>
  <si>
    <t>2.0 – 8.0</t>
  </si>
  <si>
    <t>As PVC concerns above</t>
  </si>
  <si>
    <t>DWR (traditional fluorinated PFC) finish on fabric</t>
  </si>
  <si>
    <t>+0.1 – 1.5 (added footprint depending on process)</t>
  </si>
  <si>
    <t>small – moderate</t>
  </si>
  <si>
    <t>PFAS long-term persistence &amp; toxicity concerns (if fluorinated)</t>
  </si>
  <si>
    <t>Low (finishes reduce recyclability)</t>
  </si>
  <si>
    <t>Bio-based DWR / nonfluorinated DWR</t>
  </si>
  <si>
    <t>+0.05 – 0.6</t>
  </si>
  <si>
    <t>small</t>
  </si>
  <si>
    <t>Lower persistence but may require alternatives testing</t>
  </si>
  <si>
    <t>Interlinings (woven/nonwoven/fusible)</t>
  </si>
  <si>
    <t>0.5 – 5.0</t>
  </si>
  <si>
    <t>5 – 60</t>
  </si>
  <si>
    <t>Adhesives (fusible) may contain solvent/PU adhesives</t>
  </si>
  <si>
    <t>Threads (polyester)</t>
  </si>
  <si>
    <t>Dyeing/coating on thread may add chemistry</t>
  </si>
  <si>
    <t>Threads (cotton)</t>
  </si>
  <si>
    <t>Follows cotton profile</t>
  </si>
  <si>
    <t>Buttons — plastic (poly)</t>
  </si>
  <si>
    <t>10 – 50</t>
  </si>
  <si>
    <t>Petrochemical plastics; low water</t>
  </si>
  <si>
    <t>Garment</t>
  </si>
  <si>
    <t>Garment Type</t>
  </si>
  <si>
    <t>Material Share (%)</t>
  </si>
  <si>
    <t>Weight (g)</t>
  </si>
  <si>
    <t>CO2 Factor (kg CO2/kg)</t>
  </si>
  <si>
    <t>Water Factor (L/kg)</t>
  </si>
  <si>
    <t>Energy Factor (MJ/kg)</t>
  </si>
  <si>
    <t>CO2 Total (kg)</t>
  </si>
  <si>
    <t>Water Total (L)</t>
  </si>
  <si>
    <t>Energy Total (MJ)</t>
  </si>
  <si>
    <t>T-Shirt</t>
  </si>
  <si>
    <t>Hoodie</t>
  </si>
  <si>
    <t>Jeans</t>
  </si>
  <si>
    <t>Dress</t>
  </si>
  <si>
    <t>Viscose</t>
  </si>
  <si>
    <t>Jacket</t>
  </si>
  <si>
    <t>Nylon</t>
  </si>
  <si>
    <t>Sweater</t>
  </si>
  <si>
    <t>Leggings</t>
  </si>
  <si>
    <t>Elastane</t>
  </si>
  <si>
    <t>Shirt</t>
  </si>
  <si>
    <t>Skirt</t>
  </si>
  <si>
    <t>Shorts</t>
  </si>
  <si>
    <t>Else =&gt; Grade E</t>
  </si>
  <si>
    <t>Grade_E_threshold</t>
  </si>
  <si>
    <t>&gt;= threshold =&gt; Grade D</t>
  </si>
  <si>
    <t>Grade_D_threshold</t>
  </si>
  <si>
    <t>&gt;= threshold =&gt; Grade C</t>
  </si>
  <si>
    <t>Grade_C_threshold</t>
  </si>
  <si>
    <t>&gt;= threshold =&gt; Grade B</t>
  </si>
  <si>
    <t>Grade_B_threshold</t>
  </si>
  <si>
    <t>Eco-score &gt;= threshold =&gt; Grade A</t>
  </si>
  <si>
    <t>Grade_A_threshold</t>
  </si>
  <si>
    <t>Highest circularity score</t>
  </si>
  <si>
    <t>Circularity_Best (0-100)</t>
  </si>
  <si>
    <t>Lowest circularity score</t>
  </si>
  <si>
    <t>Circularity_Worst (0-100)</t>
  </si>
  <si>
    <t>Chemistry best-case</t>
  </si>
  <si>
    <t>Chem_Best (score 0-10)</t>
  </si>
  <si>
    <t>Chemistry worst-case (10 = high concern)</t>
  </si>
  <si>
    <t>Chem_Worst (score 0-10)</t>
  </si>
  <si>
    <t>Best-case</t>
  </si>
  <si>
    <t>Energy_Benchmark_Best (MJ/kg)</t>
  </si>
  <si>
    <t>Worst-case energy (leather, intensive processes)</t>
  </si>
  <si>
    <t>Energy_Benchmark_Worst (MJ/kg)</t>
  </si>
  <si>
    <t>Water_Benchmark_Best (L/kg)</t>
  </si>
  <si>
    <t>Worst-case water use (high-end denim finishing)</t>
  </si>
  <si>
    <t>Water_Benchmark_Worst (L/kg)</t>
  </si>
  <si>
    <t>Best-case (theoretical lower bound)</t>
  </si>
  <si>
    <t>CO2_Benchmark_Best (kgCO2/kg)</t>
  </si>
  <si>
    <t>Benchmark worst-case (e.g., tanned leather ~60 kg/kg)</t>
  </si>
  <si>
    <t>CO2_Benchmark_Worst (kgCO2/kg)</t>
  </si>
  <si>
    <t>Relative weight for circularity potential</t>
  </si>
  <si>
    <t>Weight_Circularity</t>
  </si>
  <si>
    <t>Relative weight for chemical/toxicity risk</t>
  </si>
  <si>
    <t>Weight_Chemicals</t>
  </si>
  <si>
    <t>Relative weight for energy use</t>
  </si>
  <si>
    <t>Weight_Energy</t>
  </si>
  <si>
    <t>Relative weight for water consumption</t>
  </si>
  <si>
    <t>Weight_Water</t>
  </si>
  <si>
    <t>Relative weight for GHG/climate</t>
  </si>
  <si>
    <t>Weight_CO2</t>
  </si>
  <si>
    <t>Notes</t>
  </si>
  <si>
    <t>Value</t>
  </si>
  <si>
    <t>Parameter</t>
  </si>
  <si>
    <t>https://wecare.ovscorporate.it/pdf/CircularityIndex_Methodology.pdf</t>
  </si>
  <si>
    <t>Example frameworks for circularity scoring in textiles</t>
  </si>
  <si>
    <t>Circularity Index Methodologies (example: OVS/CircularityIndex)</t>
  </si>
  <si>
    <t>https://carbonfact.com/eco-score-guide</t>
  </si>
  <si>
    <t>National eco-score rules and use of LCA-based multi-indicator scoring</t>
  </si>
  <si>
    <t>French Textile Eco-Score / Ecobalyse overview</t>
  </si>
  <si>
    <t>https://support.ecoinvent.org/impact-assessment</t>
  </si>
  <si>
    <t>LCIA methods and characterization factors used for greenhouse gas, water, toxicity</t>
  </si>
  <si>
    <t>Ecoinvent Impact Assessment docs</t>
  </si>
  <si>
    <t>https://textileexchange.org/app/uploads/2025/04/Fiber-and-Materials-Matrix-Methodology.pdf</t>
  </si>
  <si>
    <t>Preferred Fiber &amp; Materials Matrix methodology for weighting indicators and normalization</t>
  </si>
  <si>
    <t>Textile Exchange Fiber &amp; Materials Matrix (2024/2025)</t>
  </si>
  <si>
    <t>https://msicontributor.higg.org/uploads/msicontributor.higg.org/sac_textpage_section_files/31/file/Higg_MSI_Methodology_February_2023.pdf</t>
  </si>
  <si>
    <t>Material-level cradle-to-gate scoring and chemistry indicator guidance</t>
  </si>
  <si>
    <t>Higg MSI Methodology (Feb 2023)</t>
  </si>
  <si>
    <t>URL (for reference)</t>
  </si>
  <si>
    <t>Short description / relevance</t>
  </si>
  <si>
    <t>Source title</t>
  </si>
  <si>
    <t>High chemistry concerns, low circularity</t>
  </si>
  <si>
    <t>Cattle emissions + tanning</t>
  </si>
  <si>
    <t>Animal</t>
  </si>
  <si>
    <t>Leather (bovine)</t>
  </si>
  <si>
    <t>Chlorinated chemistry</t>
  </si>
  <si>
    <t>Coating</t>
  </si>
  <si>
    <t>PVC faux leather</t>
  </si>
  <si>
    <t>Coating adds chemistry and lowers circularity</t>
  </si>
  <si>
    <t>PU-coated fabric</t>
  </si>
  <si>
    <t>Process chemistry concerns historically</t>
  </si>
  <si>
    <t>Viscose (generic)</t>
  </si>
  <si>
    <t>Closed-loop solvent recovery</t>
  </si>
  <si>
    <t>Sericulture impacts</t>
  </si>
  <si>
    <t>Natural</t>
  </si>
  <si>
    <t>Includes pastoral emissions</t>
  </si>
  <si>
    <t>rNylon</t>
  </si>
  <si>
    <t>High energy; N2O risk</t>
  </si>
  <si>
    <t>Nylon (virgin)</t>
  </si>
  <si>
    <t>Recycled polyester</t>
  </si>
  <si>
    <t>rPET</t>
  </si>
  <si>
    <t>Fossil feedstock; microplastics</t>
  </si>
  <si>
    <t>Polyester (virgin)</t>
  </si>
  <si>
    <t>Lower pesticide use</t>
  </si>
  <si>
    <t>Organic Cotton</t>
  </si>
  <si>
    <t>High water; medium chemistry</t>
  </si>
  <si>
    <t>Cotton (conv)</t>
  </si>
  <si>
    <t>Circularity_score (0-100)</t>
  </si>
  <si>
    <t>Chemistry_score (0-10)</t>
  </si>
  <si>
    <t>Energy_mid (MJ/kg)</t>
  </si>
  <si>
    <t>Water_mid (L/kg)</t>
  </si>
  <si>
    <t>CO2_mid (kgCO2/kg)</t>
  </si>
  <si>
    <t>Softshell</t>
  </si>
  <si>
    <t>Fleece</t>
  </si>
  <si>
    <t>Eco Score (avg)</t>
  </si>
  <si>
    <t>Total Energy (MJ)</t>
  </si>
  <si>
    <t>Total Water (L)</t>
  </si>
  <si>
    <t>Total CO2 (kg)</t>
  </si>
  <si>
    <t>Zipper</t>
  </si>
  <si>
    <t>Lining</t>
  </si>
  <si>
    <t>Shell</t>
  </si>
  <si>
    <t>Body</t>
  </si>
  <si>
    <t>Grade (A-E)</t>
  </si>
  <si>
    <t>Eco_score (0-100)</t>
  </si>
  <si>
    <t>Subscore_Circ (0-100)</t>
  </si>
  <si>
    <t>Subscore_Chem (0-100)</t>
  </si>
  <si>
    <t>Subscore_Energy (0-100)</t>
  </si>
  <si>
    <t>Subscore_Water (0-100)</t>
  </si>
  <si>
    <t>Subscore_CO2 (0-100)</t>
  </si>
  <si>
    <t>Energy_total (MJ)</t>
  </si>
  <si>
    <t>Water_total (L)</t>
  </si>
  <si>
    <t>CO2_total (kg)</t>
  </si>
  <si>
    <t>Circ_score</t>
  </si>
  <si>
    <t>Chem_score</t>
  </si>
  <si>
    <t>Energy_per_kg</t>
  </si>
  <si>
    <t>Water_per_kg</t>
  </si>
  <si>
    <t>CO2_per_kg</t>
  </si>
  <si>
    <t>Material share (%)</t>
  </si>
  <si>
    <t>Material weight (g)</t>
  </si>
  <si>
    <t>Material (select)</t>
  </si>
  <si>
    <t>Component</t>
  </si>
  <si>
    <t>Summary: per-garment totals</t>
  </si>
  <si>
    <t>Chem_Best</t>
  </si>
  <si>
    <t>Chem score worst</t>
  </si>
  <si>
    <t>Chem_Worst</t>
  </si>
  <si>
    <t>Energy_Best</t>
  </si>
  <si>
    <t>MJ/kg</t>
  </si>
  <si>
    <t>Energy_Worst</t>
  </si>
  <si>
    <t>Water_Best</t>
  </si>
  <si>
    <t>L/kg</t>
  </si>
  <si>
    <t>Water_Worst</t>
  </si>
  <si>
    <t>CO2_Best</t>
  </si>
  <si>
    <t>kg CO2/kg</t>
  </si>
  <si>
    <t>CO2_Worst</t>
  </si>
  <si>
    <t>Circularity weight</t>
  </si>
  <si>
    <t>Chemistry weight</t>
  </si>
  <si>
    <t>Energy weight</t>
  </si>
  <si>
    <t>Water weight</t>
  </si>
  <si>
    <t>CO2 weight</t>
  </si>
  <si>
    <t>Metal zipper proxy</t>
  </si>
  <si>
    <t>Leather (metal zipper proxy)</t>
  </si>
  <si>
    <t>Spandex/elastane</t>
  </si>
  <si>
    <t>PU coated fabric</t>
  </si>
  <si>
    <t>PU coating</t>
  </si>
  <si>
    <t>Virgin nylon</t>
  </si>
  <si>
    <t>Recycled polyester (mechanical)</t>
  </si>
  <si>
    <t>Recycled</t>
  </si>
  <si>
    <t>Virgin PET</t>
  </si>
  <si>
    <t>Cotton (organic)</t>
  </si>
  <si>
    <t>Conventional cotton</t>
  </si>
  <si>
    <t>Circ_score(0-100)</t>
  </si>
  <si>
    <t>Chem_score(0-10)</t>
  </si>
  <si>
    <t>Energy_perkg</t>
  </si>
  <si>
    <t>Water_perkg</t>
  </si>
  <si>
    <t>CO2_perkg</t>
  </si>
  <si>
    <t>Blend</t>
  </si>
  <si>
    <t>Composite</t>
  </si>
  <si>
    <t>Grade</t>
  </si>
  <si>
    <t>Eco_Score</t>
  </si>
  <si>
    <t>Sub_Circ</t>
  </si>
  <si>
    <t>Sub_Chem</t>
  </si>
  <si>
    <t>Sub_Energy</t>
  </si>
  <si>
    <t>Sub_Water</t>
  </si>
  <si>
    <t>Sub_CO2</t>
  </si>
  <si>
    <t>Energy_total_MJ</t>
  </si>
  <si>
    <t>Water_total_L</t>
  </si>
  <si>
    <t>CO2_total_kg</t>
  </si>
  <si>
    <t>Circ_score_effective</t>
  </si>
  <si>
    <t>Chem_score_effective</t>
  </si>
  <si>
    <t>Energy_perkg_effective</t>
  </si>
  <si>
    <t>Water_perkg_effective</t>
  </si>
  <si>
    <t>CO2_perkg_effective</t>
  </si>
  <si>
    <t>Elastane_frac</t>
  </si>
  <si>
    <t>Coating_present</t>
  </si>
  <si>
    <t>Recycled_frac_mat1</t>
  </si>
  <si>
    <t>Mat2_pct</t>
  </si>
  <si>
    <t>Mat2_name</t>
  </si>
  <si>
    <t>Mat1_pct</t>
  </si>
  <si>
    <t>Mat1_name</t>
  </si>
  <si>
    <t>Blend_pct_mat1</t>
  </si>
  <si>
    <t>Weight_g</t>
  </si>
  <si>
    <t>Product</t>
  </si>
  <si>
    <t>Blend CO2 per kg = 0.8*1.5 + 0.2*17.5 = 4.7 kgCO2/kg; apply elastane multiplier 1+2.5*0.2=1.5 =&gt; adjusted = 7.05 kgCO2/kg; CO2 total = 0.22*7.05 = 1.551 kg CO2.</t>
  </si>
  <si>
    <t>Blend CO2 per kg = 0.77*10 + 0.23*7.5 = 9.425 kgCO2/kg; CO2 total = 0.6*9.425 = 5.655 kg CO2.</t>
  </si>
  <si>
    <t>Softshell Shell</t>
  </si>
  <si>
    <t>CO2 per kg = 1.5 kgCO2/kg (rPET); CO2 total = 0.4*1.5 = 0.6 kg CO2.</t>
  </si>
  <si>
    <t>CO2 per kg = 1.5 kgCO2/kg (organic); CO2 total = 0.8*1.5 = 1.2 kg CO2; continue normalization.</t>
  </si>
  <si>
    <t>Blend CO2 per kg = 0.8*2.2 + 0.2*1.5 = 2.06 kgCO2/kg; CO2 total = 0.18*2.06 = 0.371 kg CO2; Subscores normalized and eco-score computed.</t>
  </si>
  <si>
    <t>Step-by-step calculation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</si>
</sst>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9" borderId="0" xfId="0" applyFill="1" applyAlignment="1">
      <alignment vertical="center" wrapText="1"/>
    </xf>
    <xf numFmtId="0" fontId="0" fillId="9" borderId="0" xfId="0" applyFill="1" applyAlignment="1">
      <alignment horizontal="right" vertical="center" wrapText="1"/>
    </xf>
    <xf numFmtId="0" fontId="0" fillId="10" borderId="0" xfId="0" applyFill="1" applyAlignment="1">
      <alignment vertical="center" wrapText="1"/>
    </xf>
    <xf numFmtId="0" fontId="0" fillId="10" borderId="0" xfId="0" applyFill="1" applyAlignment="1">
      <alignment horizontal="right" vertical="center" wrapText="1"/>
    </xf>
    <xf numFmtId="0" fontId="0" fillId="2" borderId="0" xfId="0" applyFill="1"/>
    <xf numFmtId="0" fontId="1" fillId="2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PC\Downloads\EcoScore_Model_Fashion.xlsx" TargetMode="External"/><Relationship Id="rId1" Type="http://schemas.openxmlformats.org/officeDocument/2006/relationships/externalLinkPath" Target="/Users/IPC/Downloads/EcoScore_Model_Fash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ers"/>
      <sheetName val="Sources"/>
      <sheetName val="Materials"/>
      <sheetName val="Garments"/>
    </sheetNames>
    <sheetDataSet>
      <sheetData sheetId="0">
        <row r="2">
          <cell r="B2">
            <v>0.35</v>
          </cell>
        </row>
        <row r="3">
          <cell r="B3">
            <v>0.25</v>
          </cell>
        </row>
        <row r="4">
          <cell r="B4">
            <v>0.15</v>
          </cell>
        </row>
        <row r="5">
          <cell r="B5">
            <v>0.15</v>
          </cell>
        </row>
        <row r="6">
          <cell r="B6">
            <v>0.1</v>
          </cell>
        </row>
        <row r="7">
          <cell r="B7">
            <v>60</v>
          </cell>
        </row>
        <row r="8">
          <cell r="B8">
            <v>0</v>
          </cell>
        </row>
        <row r="9">
          <cell r="B9">
            <v>30000</v>
          </cell>
        </row>
        <row r="10">
          <cell r="B10">
            <v>0</v>
          </cell>
        </row>
        <row r="11">
          <cell r="B11">
            <v>400</v>
          </cell>
        </row>
        <row r="12">
          <cell r="B12">
            <v>0</v>
          </cell>
        </row>
        <row r="13">
          <cell r="B13">
            <v>10</v>
          </cell>
        </row>
        <row r="14">
          <cell r="B14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A2BF-65AB-4118-8540-8E6D92907196}">
  <dimension ref="A1"/>
  <sheetViews>
    <sheetView workbookViewId="0">
      <selection activeCell="A6" sqref="A6"/>
    </sheetView>
  </sheetViews>
  <sheetFormatPr defaultRowHeight="14.4" x14ac:dyDescent="0.3"/>
  <cols>
    <col min="1" max="1" width="176.109375" customWidth="1"/>
  </cols>
  <sheetData>
    <row r="1" spans="1:1" ht="68.25" customHeight="1" x14ac:dyDescent="0.3">
      <c r="A1" s="9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B1689-CF63-42FC-8178-A911CC3AD0E6}">
  <dimension ref="A1:C49"/>
  <sheetViews>
    <sheetView topLeftCell="A37" workbookViewId="0">
      <selection sqref="A1:C1048576"/>
    </sheetView>
  </sheetViews>
  <sheetFormatPr defaultRowHeight="14.4" x14ac:dyDescent="0.3"/>
  <cols>
    <col min="1" max="1" width="21" customWidth="1"/>
    <col min="2" max="2" width="19.44140625" customWidth="1"/>
    <col min="3" max="3" width="57.441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28.8" x14ac:dyDescent="0.3">
      <c r="A2" s="3" t="s">
        <v>3</v>
      </c>
      <c r="B2" s="3" t="s">
        <v>4</v>
      </c>
      <c r="C2" s="3" t="s">
        <v>16</v>
      </c>
    </row>
    <row r="3" spans="1:3" x14ac:dyDescent="0.3">
      <c r="A3" s="3" t="s">
        <v>17</v>
      </c>
      <c r="B3" s="3" t="s">
        <v>4</v>
      </c>
      <c r="C3" s="3" t="s">
        <v>18</v>
      </c>
    </row>
    <row r="4" spans="1:3" ht="28.8" x14ac:dyDescent="0.3">
      <c r="A4" s="3" t="s">
        <v>19</v>
      </c>
      <c r="B4" s="3" t="s">
        <v>4</v>
      </c>
      <c r="C4" s="3" t="s">
        <v>20</v>
      </c>
    </row>
    <row r="5" spans="1:3" x14ac:dyDescent="0.3">
      <c r="A5" s="3" t="s">
        <v>21</v>
      </c>
      <c r="B5" s="3" t="s">
        <v>4</v>
      </c>
      <c r="C5" s="3" t="s">
        <v>22</v>
      </c>
    </row>
    <row r="6" spans="1:3" x14ac:dyDescent="0.3">
      <c r="A6" s="3" t="s">
        <v>23</v>
      </c>
      <c r="B6" s="3" t="s">
        <v>4</v>
      </c>
      <c r="C6" s="3" t="s">
        <v>24</v>
      </c>
    </row>
    <row r="7" spans="1:3" x14ac:dyDescent="0.3">
      <c r="A7" s="3" t="s">
        <v>25</v>
      </c>
      <c r="B7" s="3" t="s">
        <v>4</v>
      </c>
      <c r="C7" s="3" t="s">
        <v>26</v>
      </c>
    </row>
    <row r="8" spans="1:3" x14ac:dyDescent="0.3">
      <c r="A8" s="3" t="s">
        <v>5</v>
      </c>
      <c r="B8" s="3" t="s">
        <v>4</v>
      </c>
      <c r="C8" s="3" t="s">
        <v>27</v>
      </c>
    </row>
    <row r="9" spans="1:3" x14ac:dyDescent="0.3">
      <c r="A9" s="3" t="s">
        <v>28</v>
      </c>
      <c r="B9" s="3" t="s">
        <v>4</v>
      </c>
      <c r="C9" s="3" t="s">
        <v>29</v>
      </c>
    </row>
    <row r="10" spans="1:3" x14ac:dyDescent="0.3">
      <c r="A10" s="3" t="s">
        <v>7</v>
      </c>
      <c r="B10" s="3" t="s">
        <v>4</v>
      </c>
      <c r="C10" s="3" t="s">
        <v>30</v>
      </c>
    </row>
    <row r="11" spans="1:3" x14ac:dyDescent="0.3">
      <c r="A11" s="3" t="s">
        <v>8</v>
      </c>
      <c r="B11" s="3" t="s">
        <v>4</v>
      </c>
      <c r="C11" s="3" t="s">
        <v>31</v>
      </c>
    </row>
    <row r="12" spans="1:3" ht="28.8" x14ac:dyDescent="0.3">
      <c r="A12" s="3" t="s">
        <v>32</v>
      </c>
      <c r="B12" s="3" t="s">
        <v>33</v>
      </c>
      <c r="C12" s="3" t="s">
        <v>34</v>
      </c>
    </row>
    <row r="13" spans="1:3" x14ac:dyDescent="0.3">
      <c r="A13" s="4" t="s">
        <v>35</v>
      </c>
      <c r="B13" s="4" t="s">
        <v>36</v>
      </c>
      <c r="C13" s="4" t="s">
        <v>37</v>
      </c>
    </row>
    <row r="14" spans="1:3" ht="28.8" x14ac:dyDescent="0.3">
      <c r="A14" s="4" t="s">
        <v>38</v>
      </c>
      <c r="B14" s="4" t="s">
        <v>36</v>
      </c>
      <c r="C14" s="4" t="s">
        <v>39</v>
      </c>
    </row>
    <row r="15" spans="1:3" x14ac:dyDescent="0.3">
      <c r="A15" s="4" t="s">
        <v>9</v>
      </c>
      <c r="B15" s="4" t="s">
        <v>36</v>
      </c>
      <c r="C15" s="4" t="s">
        <v>40</v>
      </c>
    </row>
    <row r="16" spans="1:3" x14ac:dyDescent="0.3">
      <c r="A16" s="4" t="s">
        <v>10</v>
      </c>
      <c r="B16" s="4" t="s">
        <v>36</v>
      </c>
      <c r="C16" s="4" t="s">
        <v>41</v>
      </c>
    </row>
    <row r="17" spans="1:3" x14ac:dyDescent="0.3">
      <c r="A17" s="4" t="s">
        <v>42</v>
      </c>
      <c r="B17" s="4" t="s">
        <v>36</v>
      </c>
      <c r="C17" s="4" t="s">
        <v>43</v>
      </c>
    </row>
    <row r="18" spans="1:3" ht="28.8" x14ac:dyDescent="0.3">
      <c r="A18" s="5" t="s">
        <v>11</v>
      </c>
      <c r="B18" s="5" t="s">
        <v>44</v>
      </c>
      <c r="C18" s="5" t="s">
        <v>45</v>
      </c>
    </row>
    <row r="19" spans="1:3" ht="28.8" x14ac:dyDescent="0.3">
      <c r="A19" s="5" t="s">
        <v>12</v>
      </c>
      <c r="B19" s="5" t="s">
        <v>44</v>
      </c>
      <c r="C19" s="5" t="s">
        <v>46</v>
      </c>
    </row>
    <row r="20" spans="1:3" x14ac:dyDescent="0.3">
      <c r="A20" s="5" t="s">
        <v>13</v>
      </c>
      <c r="B20" s="5" t="s">
        <v>44</v>
      </c>
      <c r="C20" s="5" t="s">
        <v>47</v>
      </c>
    </row>
    <row r="21" spans="1:3" ht="28.8" x14ac:dyDescent="0.3">
      <c r="A21" s="5" t="s">
        <v>14</v>
      </c>
      <c r="B21" s="5" t="s">
        <v>44</v>
      </c>
      <c r="C21" s="5" t="s">
        <v>48</v>
      </c>
    </row>
    <row r="22" spans="1:3" x14ac:dyDescent="0.3">
      <c r="A22" s="5" t="s">
        <v>49</v>
      </c>
      <c r="B22" s="5" t="s">
        <v>44</v>
      </c>
      <c r="C22" s="5" t="s">
        <v>50</v>
      </c>
    </row>
    <row r="23" spans="1:3" ht="28.8" x14ac:dyDescent="0.3">
      <c r="A23" s="6" t="s">
        <v>15</v>
      </c>
      <c r="B23" s="6" t="s">
        <v>51</v>
      </c>
      <c r="C23" s="6" t="s">
        <v>52</v>
      </c>
    </row>
    <row r="24" spans="1:3" x14ac:dyDescent="0.3">
      <c r="A24" s="6" t="s">
        <v>53</v>
      </c>
      <c r="B24" s="6" t="s">
        <v>51</v>
      </c>
      <c r="C24" s="6" t="s">
        <v>54</v>
      </c>
    </row>
    <row r="25" spans="1:3" x14ac:dyDescent="0.3">
      <c r="A25" s="6" t="s">
        <v>55</v>
      </c>
      <c r="B25" s="6" t="s">
        <v>56</v>
      </c>
      <c r="C25" s="6" t="s">
        <v>57</v>
      </c>
    </row>
    <row r="26" spans="1:3" x14ac:dyDescent="0.3">
      <c r="A26" s="6" t="s">
        <v>58</v>
      </c>
      <c r="B26" s="6" t="s">
        <v>56</v>
      </c>
      <c r="C26" s="6" t="s">
        <v>59</v>
      </c>
    </row>
    <row r="27" spans="1:3" ht="28.8" x14ac:dyDescent="0.3">
      <c r="A27" s="7" t="s">
        <v>60</v>
      </c>
      <c r="B27" s="7" t="s">
        <v>61</v>
      </c>
      <c r="C27" s="7" t="s">
        <v>62</v>
      </c>
    </row>
    <row r="28" spans="1:3" ht="28.8" x14ac:dyDescent="0.3">
      <c r="A28" s="7" t="s">
        <v>63</v>
      </c>
      <c r="B28" s="7" t="s">
        <v>61</v>
      </c>
      <c r="C28" s="7" t="s">
        <v>64</v>
      </c>
    </row>
    <row r="29" spans="1:3" ht="57.6" x14ac:dyDescent="0.3">
      <c r="A29" s="7" t="s">
        <v>65</v>
      </c>
      <c r="B29" s="7" t="s">
        <v>66</v>
      </c>
      <c r="C29" s="7" t="s">
        <v>67</v>
      </c>
    </row>
    <row r="30" spans="1:3" x14ac:dyDescent="0.3">
      <c r="A30" s="8" t="s">
        <v>68</v>
      </c>
      <c r="B30" s="8" t="s">
        <v>69</v>
      </c>
      <c r="C30" s="8" t="s">
        <v>70</v>
      </c>
    </row>
    <row r="31" spans="1:3" x14ac:dyDescent="0.3">
      <c r="A31" s="8" t="s">
        <v>71</v>
      </c>
      <c r="B31" s="8" t="s">
        <v>72</v>
      </c>
      <c r="C31" s="8" t="s">
        <v>73</v>
      </c>
    </row>
    <row r="32" spans="1:3" x14ac:dyDescent="0.3">
      <c r="A32" s="8" t="s">
        <v>74</v>
      </c>
      <c r="B32" s="8" t="s">
        <v>72</v>
      </c>
      <c r="C32" s="8" t="s">
        <v>75</v>
      </c>
    </row>
    <row r="33" spans="1:3" ht="28.8" x14ac:dyDescent="0.3">
      <c r="A33" s="1" t="s">
        <v>76</v>
      </c>
      <c r="B33" s="1" t="s">
        <v>77</v>
      </c>
      <c r="C33" s="1" t="s">
        <v>78</v>
      </c>
    </row>
    <row r="34" spans="1:3" ht="28.8" x14ac:dyDescent="0.3">
      <c r="A34" s="1" t="s">
        <v>79</v>
      </c>
      <c r="B34" s="1" t="s">
        <v>80</v>
      </c>
      <c r="C34" s="1" t="s">
        <v>81</v>
      </c>
    </row>
    <row r="35" spans="1:3" x14ac:dyDescent="0.3">
      <c r="A35" s="1" t="s">
        <v>82</v>
      </c>
      <c r="B35" s="1" t="s">
        <v>80</v>
      </c>
      <c r="C35" s="1" t="s">
        <v>83</v>
      </c>
    </row>
    <row r="36" spans="1:3" ht="28.8" x14ac:dyDescent="0.3">
      <c r="A36" s="1" t="s">
        <v>84</v>
      </c>
      <c r="B36" s="1" t="s">
        <v>85</v>
      </c>
      <c r="C36" s="1" t="s">
        <v>86</v>
      </c>
    </row>
    <row r="37" spans="1:3" x14ac:dyDescent="0.3">
      <c r="A37" s="1" t="s">
        <v>87</v>
      </c>
      <c r="B37" s="1" t="s">
        <v>85</v>
      </c>
      <c r="C37" s="1" t="s">
        <v>88</v>
      </c>
    </row>
    <row r="38" spans="1:3" x14ac:dyDescent="0.3">
      <c r="A38" s="1" t="s">
        <v>89</v>
      </c>
      <c r="B38" s="1" t="s">
        <v>85</v>
      </c>
      <c r="C38" s="1" t="s">
        <v>90</v>
      </c>
    </row>
    <row r="39" spans="1:3" ht="28.8" x14ac:dyDescent="0.3">
      <c r="A39" s="1" t="s">
        <v>91</v>
      </c>
      <c r="B39" s="1" t="s">
        <v>92</v>
      </c>
      <c r="C39" s="1" t="s">
        <v>93</v>
      </c>
    </row>
    <row r="40" spans="1:3" x14ac:dyDescent="0.3">
      <c r="A40" s="1" t="s">
        <v>94</v>
      </c>
      <c r="B40" s="1" t="s">
        <v>95</v>
      </c>
      <c r="C40" s="1" t="s">
        <v>96</v>
      </c>
    </row>
    <row r="41" spans="1:3" x14ac:dyDescent="0.3">
      <c r="A41" s="1" t="s">
        <v>97</v>
      </c>
      <c r="B41" s="1" t="s">
        <v>95</v>
      </c>
      <c r="C41" s="1" t="s">
        <v>98</v>
      </c>
    </row>
    <row r="42" spans="1:3" x14ac:dyDescent="0.3">
      <c r="A42" s="1" t="s">
        <v>99</v>
      </c>
      <c r="B42" s="1" t="s">
        <v>92</v>
      </c>
      <c r="C42" s="1" t="s">
        <v>100</v>
      </c>
    </row>
    <row r="43" spans="1:3" ht="28.8" x14ac:dyDescent="0.3">
      <c r="A43" s="1" t="s">
        <v>101</v>
      </c>
      <c r="B43" s="1" t="s">
        <v>102</v>
      </c>
      <c r="C43" s="1" t="s">
        <v>103</v>
      </c>
    </row>
    <row r="44" spans="1:3" ht="43.2" x14ac:dyDescent="0.3">
      <c r="A44" s="1" t="s">
        <v>104</v>
      </c>
      <c r="B44" s="1" t="s">
        <v>102</v>
      </c>
      <c r="C44" s="1" t="s">
        <v>105</v>
      </c>
    </row>
    <row r="45" spans="1:3" x14ac:dyDescent="0.3">
      <c r="A45" s="1" t="s">
        <v>106</v>
      </c>
      <c r="B45" s="1" t="s">
        <v>92</v>
      </c>
      <c r="C45" s="1" t="s">
        <v>107</v>
      </c>
    </row>
    <row r="46" spans="1:3" ht="28.8" x14ac:dyDescent="0.3">
      <c r="A46" s="1" t="s">
        <v>108</v>
      </c>
      <c r="B46" s="1" t="s">
        <v>109</v>
      </c>
      <c r="C46" s="1" t="s">
        <v>110</v>
      </c>
    </row>
    <row r="47" spans="1:3" x14ac:dyDescent="0.3">
      <c r="A47" s="1" t="s">
        <v>111</v>
      </c>
      <c r="B47" s="1" t="s">
        <v>109</v>
      </c>
      <c r="C47" s="1" t="s">
        <v>112</v>
      </c>
    </row>
    <row r="48" spans="1:3" ht="28.8" x14ac:dyDescent="0.3">
      <c r="A48" s="1" t="s">
        <v>113</v>
      </c>
      <c r="B48" s="1" t="s">
        <v>109</v>
      </c>
      <c r="C48" s="1" t="s">
        <v>114</v>
      </c>
    </row>
    <row r="49" spans="1:3" x14ac:dyDescent="0.3">
      <c r="A49" s="1" t="s">
        <v>115</v>
      </c>
      <c r="B49" s="1" t="s">
        <v>80</v>
      </c>
      <c r="C49" s="1" t="s">
        <v>116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C107-846C-4397-9348-B96BE1124940}">
  <dimension ref="A1:G44"/>
  <sheetViews>
    <sheetView topLeftCell="A14" workbookViewId="0">
      <selection activeCell="A19" sqref="A19:G28"/>
    </sheetView>
  </sheetViews>
  <sheetFormatPr defaultRowHeight="14.4" x14ac:dyDescent="0.3"/>
  <cols>
    <col min="1" max="1" width="27.6640625" customWidth="1"/>
    <col min="2" max="2" width="17.5546875" customWidth="1"/>
    <col min="3" max="3" width="22.33203125" customWidth="1"/>
    <col min="4" max="4" width="18" customWidth="1"/>
    <col min="5" max="5" width="13.6640625" customWidth="1"/>
    <col min="6" max="6" width="31" customWidth="1"/>
    <col min="7" max="7" width="47.88671875" customWidth="1"/>
  </cols>
  <sheetData>
    <row r="1" spans="1:7" x14ac:dyDescent="0.3">
      <c r="A1" s="2" t="s">
        <v>109</v>
      </c>
      <c r="B1" s="2" t="s">
        <v>1</v>
      </c>
      <c r="C1" s="11" t="s">
        <v>118</v>
      </c>
      <c r="D1" s="11" t="s">
        <v>119</v>
      </c>
      <c r="E1" s="11" t="s">
        <v>120</v>
      </c>
      <c r="F1" s="2" t="s">
        <v>121</v>
      </c>
      <c r="G1" s="2" t="s">
        <v>122</v>
      </c>
    </row>
    <row r="2" spans="1:7" ht="28.8" x14ac:dyDescent="0.3">
      <c r="A2" s="3" t="s">
        <v>123</v>
      </c>
      <c r="B2" s="3" t="s">
        <v>4</v>
      </c>
      <c r="C2" s="12" t="s">
        <v>124</v>
      </c>
      <c r="D2" s="12" t="s">
        <v>125</v>
      </c>
      <c r="E2" s="12" t="s">
        <v>126</v>
      </c>
      <c r="F2" s="3" t="s">
        <v>127</v>
      </c>
      <c r="G2" s="3" t="s">
        <v>128</v>
      </c>
    </row>
    <row r="3" spans="1:7" ht="28.8" x14ac:dyDescent="0.3">
      <c r="A3" s="3" t="s">
        <v>129</v>
      </c>
      <c r="B3" s="3" t="s">
        <v>4</v>
      </c>
      <c r="C3" s="12" t="s">
        <v>130</v>
      </c>
      <c r="D3" s="12" t="s">
        <v>131</v>
      </c>
      <c r="E3" s="12" t="s">
        <v>132</v>
      </c>
      <c r="F3" s="3" t="s">
        <v>133</v>
      </c>
      <c r="G3" s="3" t="s">
        <v>134</v>
      </c>
    </row>
    <row r="4" spans="1:7" x14ac:dyDescent="0.3">
      <c r="A4" s="3" t="s">
        <v>135</v>
      </c>
      <c r="B4" s="3" t="s">
        <v>4</v>
      </c>
      <c r="C4" s="12" t="s">
        <v>136</v>
      </c>
      <c r="D4" s="12" t="s">
        <v>137</v>
      </c>
      <c r="E4" s="12" t="s">
        <v>138</v>
      </c>
      <c r="F4" s="3" t="s">
        <v>139</v>
      </c>
      <c r="G4" s="3" t="s">
        <v>140</v>
      </c>
    </row>
    <row r="5" spans="1:7" x14ac:dyDescent="0.3">
      <c r="A5" s="3" t="s">
        <v>7</v>
      </c>
      <c r="B5" s="3" t="s">
        <v>4</v>
      </c>
      <c r="C5" s="12" t="s">
        <v>141</v>
      </c>
      <c r="D5" s="12" t="s">
        <v>142</v>
      </c>
      <c r="E5" s="12" t="s">
        <v>138</v>
      </c>
      <c r="F5" s="3" t="s">
        <v>143</v>
      </c>
      <c r="G5" s="3" t="s">
        <v>140</v>
      </c>
    </row>
    <row r="6" spans="1:7" x14ac:dyDescent="0.3">
      <c r="A6" s="3" t="s">
        <v>8</v>
      </c>
      <c r="B6" s="3" t="s">
        <v>4</v>
      </c>
      <c r="C6" s="12" t="s">
        <v>144</v>
      </c>
      <c r="D6" s="12" t="s">
        <v>145</v>
      </c>
      <c r="E6" s="12" t="s">
        <v>146</v>
      </c>
      <c r="F6" s="3" t="s">
        <v>147</v>
      </c>
      <c r="G6" s="3" t="s">
        <v>134</v>
      </c>
    </row>
    <row r="7" spans="1:7" ht="28.8" x14ac:dyDescent="0.3">
      <c r="A7" s="3" t="s">
        <v>148</v>
      </c>
      <c r="B7" s="3" t="s">
        <v>6</v>
      </c>
      <c r="C7" s="12" t="s">
        <v>149</v>
      </c>
      <c r="D7" s="12" t="s">
        <v>150</v>
      </c>
      <c r="E7" s="12" t="s">
        <v>151</v>
      </c>
      <c r="F7" s="3" t="s">
        <v>152</v>
      </c>
      <c r="G7" s="3" t="s">
        <v>134</v>
      </c>
    </row>
    <row r="8" spans="1:7" ht="28.8" x14ac:dyDescent="0.3">
      <c r="A8" s="3" t="s">
        <v>153</v>
      </c>
      <c r="B8" s="3" t="s">
        <v>4</v>
      </c>
      <c r="C8" s="12" t="s">
        <v>154</v>
      </c>
      <c r="D8" s="12" t="s">
        <v>155</v>
      </c>
      <c r="E8" s="12" t="s">
        <v>156</v>
      </c>
      <c r="F8" s="3" t="s">
        <v>157</v>
      </c>
      <c r="G8" s="3" t="s">
        <v>134</v>
      </c>
    </row>
    <row r="9" spans="1:7" ht="28.8" x14ac:dyDescent="0.3">
      <c r="A9" s="3" t="s">
        <v>21</v>
      </c>
      <c r="B9" s="3" t="s">
        <v>4</v>
      </c>
      <c r="C9" s="12" t="s">
        <v>158</v>
      </c>
      <c r="D9" s="12" t="s">
        <v>159</v>
      </c>
      <c r="E9" s="12" t="s">
        <v>160</v>
      </c>
      <c r="F9" s="3" t="s">
        <v>161</v>
      </c>
      <c r="G9" s="3" t="s">
        <v>162</v>
      </c>
    </row>
    <row r="10" spans="1:7" ht="28.8" x14ac:dyDescent="0.3">
      <c r="A10" s="3" t="s">
        <v>23</v>
      </c>
      <c r="B10" s="3" t="s">
        <v>4</v>
      </c>
      <c r="C10" s="12" t="s">
        <v>163</v>
      </c>
      <c r="D10" s="12" t="s">
        <v>164</v>
      </c>
      <c r="E10" s="12" t="s">
        <v>165</v>
      </c>
      <c r="F10" s="3" t="s">
        <v>166</v>
      </c>
      <c r="G10" s="3" t="s">
        <v>134</v>
      </c>
    </row>
    <row r="11" spans="1:7" x14ac:dyDescent="0.3">
      <c r="A11" s="3" t="s">
        <v>25</v>
      </c>
      <c r="B11" s="3" t="s">
        <v>4</v>
      </c>
      <c r="C11" s="12" t="s">
        <v>167</v>
      </c>
      <c r="D11" s="12" t="s">
        <v>168</v>
      </c>
      <c r="E11" s="12" t="s">
        <v>169</v>
      </c>
      <c r="F11" s="3" t="s">
        <v>170</v>
      </c>
      <c r="G11" s="3" t="s">
        <v>134</v>
      </c>
    </row>
    <row r="12" spans="1:7" ht="28.8" x14ac:dyDescent="0.3">
      <c r="A12" s="3" t="s">
        <v>5</v>
      </c>
      <c r="B12" s="3" t="s">
        <v>4</v>
      </c>
      <c r="C12" s="12" t="s">
        <v>171</v>
      </c>
      <c r="D12" s="12" t="s">
        <v>172</v>
      </c>
      <c r="E12" s="12" t="s">
        <v>173</v>
      </c>
      <c r="F12" s="3" t="s">
        <v>174</v>
      </c>
      <c r="G12" s="3" t="s">
        <v>134</v>
      </c>
    </row>
    <row r="13" spans="1:7" ht="28.8" x14ac:dyDescent="0.3">
      <c r="A13" s="13" t="s">
        <v>175</v>
      </c>
      <c r="B13" s="13" t="s">
        <v>36</v>
      </c>
      <c r="C13" s="14" t="s">
        <v>176</v>
      </c>
      <c r="D13" s="14" t="s">
        <v>177</v>
      </c>
      <c r="E13" s="14" t="s">
        <v>126</v>
      </c>
      <c r="F13" s="13" t="s">
        <v>178</v>
      </c>
      <c r="G13" s="13" t="s">
        <v>134</v>
      </c>
    </row>
    <row r="14" spans="1:7" ht="28.8" x14ac:dyDescent="0.3">
      <c r="A14" s="13" t="s">
        <v>179</v>
      </c>
      <c r="B14" s="13" t="s">
        <v>36</v>
      </c>
      <c r="C14" s="14" t="s">
        <v>180</v>
      </c>
      <c r="D14" s="14" t="s">
        <v>181</v>
      </c>
      <c r="E14" s="14" t="s">
        <v>126</v>
      </c>
      <c r="F14" s="13" t="s">
        <v>182</v>
      </c>
      <c r="G14" s="13" t="s">
        <v>134</v>
      </c>
    </row>
    <row r="15" spans="1:7" ht="28.8" x14ac:dyDescent="0.3">
      <c r="A15" s="13" t="s">
        <v>183</v>
      </c>
      <c r="B15" s="13" t="s">
        <v>36</v>
      </c>
      <c r="C15" s="14" t="s">
        <v>184</v>
      </c>
      <c r="D15" s="14" t="s">
        <v>185</v>
      </c>
      <c r="E15" s="14" t="s">
        <v>186</v>
      </c>
      <c r="F15" s="13" t="s">
        <v>187</v>
      </c>
      <c r="G15" s="13" t="s">
        <v>140</v>
      </c>
    </row>
    <row r="16" spans="1:7" ht="28.8" x14ac:dyDescent="0.3">
      <c r="A16" s="13" t="s">
        <v>9</v>
      </c>
      <c r="B16" s="13" t="s">
        <v>36</v>
      </c>
      <c r="C16" s="14" t="s">
        <v>188</v>
      </c>
      <c r="D16" s="14" t="s">
        <v>189</v>
      </c>
      <c r="E16" s="14" t="s">
        <v>190</v>
      </c>
      <c r="F16" s="13" t="s">
        <v>191</v>
      </c>
      <c r="G16" s="13" t="s">
        <v>134</v>
      </c>
    </row>
    <row r="17" spans="1:7" ht="28.8" x14ac:dyDescent="0.3">
      <c r="A17" s="13" t="s">
        <v>42</v>
      </c>
      <c r="B17" s="13" t="s">
        <v>36</v>
      </c>
      <c r="C17" s="14" t="s">
        <v>192</v>
      </c>
      <c r="D17" s="14" t="s">
        <v>193</v>
      </c>
      <c r="E17" s="14" t="s">
        <v>194</v>
      </c>
      <c r="F17" s="13" t="s">
        <v>195</v>
      </c>
      <c r="G17" s="13" t="s">
        <v>134</v>
      </c>
    </row>
    <row r="18" spans="1:7" ht="28.8" x14ac:dyDescent="0.3">
      <c r="A18" s="13" t="s">
        <v>10</v>
      </c>
      <c r="B18" s="13" t="s">
        <v>36</v>
      </c>
      <c r="C18" s="14" t="s">
        <v>196</v>
      </c>
      <c r="D18" s="14" t="s">
        <v>197</v>
      </c>
      <c r="E18" s="14" t="s">
        <v>198</v>
      </c>
      <c r="F18" s="13" t="s">
        <v>199</v>
      </c>
      <c r="G18" s="13" t="s">
        <v>134</v>
      </c>
    </row>
    <row r="19" spans="1:7" ht="28.8" x14ac:dyDescent="0.3">
      <c r="A19" s="15" t="s">
        <v>200</v>
      </c>
      <c r="B19" s="15" t="s">
        <v>44</v>
      </c>
      <c r="C19" s="16" t="s">
        <v>201</v>
      </c>
      <c r="D19" s="16" t="s">
        <v>151</v>
      </c>
      <c r="E19" s="16" t="s">
        <v>202</v>
      </c>
      <c r="F19" s="15" t="s">
        <v>203</v>
      </c>
      <c r="G19" s="15" t="s">
        <v>140</v>
      </c>
    </row>
    <row r="20" spans="1:7" ht="28.8" x14ac:dyDescent="0.3">
      <c r="A20" s="15" t="s">
        <v>204</v>
      </c>
      <c r="B20" s="15" t="s">
        <v>51</v>
      </c>
      <c r="C20" s="16" t="s">
        <v>205</v>
      </c>
      <c r="D20" s="16" t="s">
        <v>206</v>
      </c>
      <c r="E20" s="16" t="s">
        <v>207</v>
      </c>
      <c r="F20" s="15" t="s">
        <v>208</v>
      </c>
      <c r="G20" s="15" t="s">
        <v>209</v>
      </c>
    </row>
    <row r="21" spans="1:7" ht="28.8" x14ac:dyDescent="0.3">
      <c r="A21" s="15" t="s">
        <v>210</v>
      </c>
      <c r="B21" s="15" t="s">
        <v>44</v>
      </c>
      <c r="C21" s="16" t="s">
        <v>211</v>
      </c>
      <c r="D21" s="16" t="s">
        <v>212</v>
      </c>
      <c r="E21" s="16" t="s">
        <v>213</v>
      </c>
      <c r="F21" s="15" t="s">
        <v>214</v>
      </c>
      <c r="G21" s="15" t="s">
        <v>134</v>
      </c>
    </row>
    <row r="22" spans="1:7" ht="43.2" x14ac:dyDescent="0.3">
      <c r="A22" s="15" t="s">
        <v>215</v>
      </c>
      <c r="B22" s="15" t="s">
        <v>51</v>
      </c>
      <c r="C22" s="16" t="s">
        <v>180</v>
      </c>
      <c r="D22" s="16" t="s">
        <v>216</v>
      </c>
      <c r="E22" s="16" t="s">
        <v>126</v>
      </c>
      <c r="F22" s="15" t="s">
        <v>217</v>
      </c>
      <c r="G22" s="15" t="s">
        <v>218</v>
      </c>
    </row>
    <row r="23" spans="1:7" ht="43.2" x14ac:dyDescent="0.3">
      <c r="A23" s="15" t="s">
        <v>13</v>
      </c>
      <c r="B23" s="15" t="s">
        <v>44</v>
      </c>
      <c r="C23" s="16" t="s">
        <v>219</v>
      </c>
      <c r="D23" s="16" t="s">
        <v>220</v>
      </c>
      <c r="E23" s="16" t="s">
        <v>221</v>
      </c>
      <c r="F23" s="15" t="s">
        <v>222</v>
      </c>
      <c r="G23" s="15" t="s">
        <v>223</v>
      </c>
    </row>
    <row r="24" spans="1:7" ht="28.8" x14ac:dyDescent="0.3">
      <c r="A24" s="15" t="s">
        <v>224</v>
      </c>
      <c r="B24" s="15" t="s">
        <v>44</v>
      </c>
      <c r="C24" s="16" t="s">
        <v>225</v>
      </c>
      <c r="D24" s="16" t="s">
        <v>216</v>
      </c>
      <c r="E24" s="16" t="s">
        <v>226</v>
      </c>
      <c r="F24" s="15" t="s">
        <v>227</v>
      </c>
      <c r="G24" s="15" t="s">
        <v>228</v>
      </c>
    </row>
    <row r="25" spans="1:7" ht="28.8" x14ac:dyDescent="0.3">
      <c r="A25" s="15" t="s">
        <v>229</v>
      </c>
      <c r="B25" s="15" t="s">
        <v>44</v>
      </c>
      <c r="C25" s="16" t="s">
        <v>188</v>
      </c>
      <c r="D25" s="16" t="s">
        <v>230</v>
      </c>
      <c r="E25" s="16" t="s">
        <v>231</v>
      </c>
      <c r="F25" s="15" t="s">
        <v>232</v>
      </c>
      <c r="G25" s="15" t="s">
        <v>223</v>
      </c>
    </row>
    <row r="26" spans="1:7" ht="28.8" x14ac:dyDescent="0.3">
      <c r="A26" s="15" t="s">
        <v>233</v>
      </c>
      <c r="B26" s="15" t="s">
        <v>44</v>
      </c>
      <c r="C26" s="16" t="s">
        <v>188</v>
      </c>
      <c r="D26" s="16" t="s">
        <v>230</v>
      </c>
      <c r="E26" s="16" t="s">
        <v>234</v>
      </c>
      <c r="F26" s="15" t="s">
        <v>235</v>
      </c>
      <c r="G26" s="15" t="s">
        <v>223</v>
      </c>
    </row>
    <row r="27" spans="1:7" ht="28.8" x14ac:dyDescent="0.3">
      <c r="A27" s="15" t="s">
        <v>236</v>
      </c>
      <c r="B27" s="15" t="s">
        <v>237</v>
      </c>
      <c r="C27" s="16" t="s">
        <v>238</v>
      </c>
      <c r="D27" s="16" t="s">
        <v>239</v>
      </c>
      <c r="E27" s="16" t="s">
        <v>240</v>
      </c>
      <c r="F27" s="15" t="s">
        <v>241</v>
      </c>
      <c r="G27" s="15" t="s">
        <v>223</v>
      </c>
    </row>
    <row r="28" spans="1:7" ht="43.2" x14ac:dyDescent="0.3">
      <c r="A28" s="15" t="s">
        <v>242</v>
      </c>
      <c r="B28" s="15" t="s">
        <v>237</v>
      </c>
      <c r="C28" s="16" t="s">
        <v>243</v>
      </c>
      <c r="D28" s="16" t="s">
        <v>244</v>
      </c>
      <c r="E28" s="16" t="s">
        <v>245</v>
      </c>
      <c r="F28" s="15" t="s">
        <v>246</v>
      </c>
      <c r="G28" s="15" t="s">
        <v>228</v>
      </c>
    </row>
    <row r="29" spans="1:7" ht="43.2" x14ac:dyDescent="0.3">
      <c r="A29" s="1" t="s">
        <v>247</v>
      </c>
      <c r="B29" s="1" t="s">
        <v>248</v>
      </c>
      <c r="C29" s="10" t="s">
        <v>249</v>
      </c>
      <c r="D29" s="10" t="s">
        <v>250</v>
      </c>
      <c r="E29" s="10" t="s">
        <v>251</v>
      </c>
      <c r="F29" s="1" t="s">
        <v>252</v>
      </c>
      <c r="G29" s="1" t="s">
        <v>253</v>
      </c>
    </row>
    <row r="30" spans="1:7" ht="43.2" x14ac:dyDescent="0.3">
      <c r="A30" s="1" t="s">
        <v>254</v>
      </c>
      <c r="B30" s="1" t="s">
        <v>255</v>
      </c>
      <c r="C30" s="10" t="s">
        <v>256</v>
      </c>
      <c r="D30" s="10" t="s">
        <v>257</v>
      </c>
      <c r="E30" s="10" t="s">
        <v>258</v>
      </c>
      <c r="F30" s="1" t="s">
        <v>259</v>
      </c>
      <c r="G30" s="1" t="s">
        <v>260</v>
      </c>
    </row>
    <row r="31" spans="1:7" ht="28.8" x14ac:dyDescent="0.3">
      <c r="A31" s="1" t="s">
        <v>261</v>
      </c>
      <c r="B31" s="1" t="s">
        <v>262</v>
      </c>
      <c r="C31" s="10" t="s">
        <v>263</v>
      </c>
      <c r="D31" s="10" t="s">
        <v>125</v>
      </c>
      <c r="E31" s="10" t="s">
        <v>165</v>
      </c>
      <c r="F31" s="1" t="s">
        <v>264</v>
      </c>
      <c r="G31" s="1" t="s">
        <v>134</v>
      </c>
    </row>
    <row r="32" spans="1:7" ht="28.8" x14ac:dyDescent="0.3">
      <c r="A32" s="1" t="s">
        <v>265</v>
      </c>
      <c r="B32" s="1" t="s">
        <v>109</v>
      </c>
      <c r="C32" s="10" t="s">
        <v>263</v>
      </c>
      <c r="D32" s="10" t="s">
        <v>266</v>
      </c>
      <c r="E32" s="10" t="s">
        <v>267</v>
      </c>
      <c r="F32" s="1" t="s">
        <v>268</v>
      </c>
      <c r="G32" s="1" t="s">
        <v>134</v>
      </c>
    </row>
    <row r="33" spans="1:7" ht="28.8" x14ac:dyDescent="0.3">
      <c r="A33" s="1" t="s">
        <v>269</v>
      </c>
      <c r="B33" s="1" t="s">
        <v>109</v>
      </c>
      <c r="C33" s="10" t="s">
        <v>270</v>
      </c>
      <c r="D33" s="10" t="s">
        <v>271</v>
      </c>
      <c r="E33" s="10" t="s">
        <v>272</v>
      </c>
      <c r="F33" s="1" t="s">
        <v>273</v>
      </c>
      <c r="G33" s="1" t="s">
        <v>134</v>
      </c>
    </row>
    <row r="34" spans="1:7" ht="28.8" x14ac:dyDescent="0.3">
      <c r="A34" s="1" t="s">
        <v>274</v>
      </c>
      <c r="B34" s="1" t="s">
        <v>80</v>
      </c>
      <c r="C34" s="10" t="s">
        <v>275</v>
      </c>
      <c r="D34" s="10" t="s">
        <v>276</v>
      </c>
      <c r="E34" s="10" t="s">
        <v>151</v>
      </c>
      <c r="F34" s="1" t="s">
        <v>277</v>
      </c>
      <c r="G34" s="1" t="s">
        <v>223</v>
      </c>
    </row>
    <row r="35" spans="1:7" ht="28.8" x14ac:dyDescent="0.3">
      <c r="A35" s="1" t="s">
        <v>278</v>
      </c>
      <c r="B35" s="1" t="s">
        <v>279</v>
      </c>
      <c r="C35" s="10" t="s">
        <v>280</v>
      </c>
      <c r="D35" s="10" t="s">
        <v>239</v>
      </c>
      <c r="E35" s="10" t="s">
        <v>281</v>
      </c>
      <c r="F35" s="1" t="s">
        <v>282</v>
      </c>
      <c r="G35" s="1" t="s">
        <v>228</v>
      </c>
    </row>
    <row r="36" spans="1:7" ht="28.8" x14ac:dyDescent="0.3">
      <c r="A36" s="1" t="s">
        <v>283</v>
      </c>
      <c r="B36" s="1" t="s">
        <v>279</v>
      </c>
      <c r="C36" s="10" t="s">
        <v>275</v>
      </c>
      <c r="D36" s="10" t="s">
        <v>284</v>
      </c>
      <c r="E36" s="10" t="s">
        <v>285</v>
      </c>
      <c r="F36" s="1" t="s">
        <v>286</v>
      </c>
      <c r="G36" s="1" t="s">
        <v>223</v>
      </c>
    </row>
    <row r="37" spans="1:7" x14ac:dyDescent="0.3">
      <c r="A37" s="1" t="s">
        <v>287</v>
      </c>
      <c r="B37" s="1" t="s">
        <v>72</v>
      </c>
      <c r="C37" s="10" t="s">
        <v>288</v>
      </c>
      <c r="D37" s="10" t="s">
        <v>239</v>
      </c>
      <c r="E37" s="10" t="s">
        <v>240</v>
      </c>
      <c r="F37" s="1" t="s">
        <v>289</v>
      </c>
      <c r="G37" s="1" t="s">
        <v>223</v>
      </c>
    </row>
    <row r="38" spans="1:7" x14ac:dyDescent="0.3">
      <c r="A38" s="1" t="s">
        <v>290</v>
      </c>
      <c r="B38" s="1" t="s">
        <v>72</v>
      </c>
      <c r="C38" s="10" t="s">
        <v>291</v>
      </c>
      <c r="D38" s="10" t="s">
        <v>244</v>
      </c>
      <c r="E38" s="10" t="s">
        <v>245</v>
      </c>
      <c r="F38" s="1" t="s">
        <v>292</v>
      </c>
      <c r="G38" s="1" t="s">
        <v>228</v>
      </c>
    </row>
    <row r="39" spans="1:7" ht="28.8" x14ac:dyDescent="0.3">
      <c r="A39" s="1" t="s">
        <v>293</v>
      </c>
      <c r="B39" s="1" t="s">
        <v>77</v>
      </c>
      <c r="C39" s="10" t="s">
        <v>294</v>
      </c>
      <c r="D39" s="10" t="s">
        <v>295</v>
      </c>
      <c r="E39" s="10" t="s">
        <v>295</v>
      </c>
      <c r="F39" s="1" t="s">
        <v>296</v>
      </c>
      <c r="G39" s="1" t="s">
        <v>297</v>
      </c>
    </row>
    <row r="40" spans="1:7" ht="28.8" x14ac:dyDescent="0.3">
      <c r="A40" s="1" t="s">
        <v>298</v>
      </c>
      <c r="B40" s="1" t="s">
        <v>77</v>
      </c>
      <c r="C40" s="10" t="s">
        <v>299</v>
      </c>
      <c r="D40" s="10" t="s">
        <v>300</v>
      </c>
      <c r="E40" s="10" t="s">
        <v>300</v>
      </c>
      <c r="F40" s="1" t="s">
        <v>301</v>
      </c>
      <c r="G40" s="1" t="s">
        <v>134</v>
      </c>
    </row>
    <row r="41" spans="1:7" ht="28.8" x14ac:dyDescent="0.3">
      <c r="A41" s="1" t="s">
        <v>302</v>
      </c>
      <c r="B41" s="1" t="s">
        <v>102</v>
      </c>
      <c r="C41" s="10" t="s">
        <v>303</v>
      </c>
      <c r="D41" s="10" t="s">
        <v>216</v>
      </c>
      <c r="E41" s="10" t="s">
        <v>304</v>
      </c>
      <c r="F41" s="1" t="s">
        <v>305</v>
      </c>
      <c r="G41" s="1" t="s">
        <v>223</v>
      </c>
    </row>
    <row r="42" spans="1:7" ht="28.8" x14ac:dyDescent="0.3">
      <c r="A42" s="1" t="s">
        <v>306</v>
      </c>
      <c r="B42" s="1" t="s">
        <v>102</v>
      </c>
      <c r="C42" s="10" t="s">
        <v>270</v>
      </c>
      <c r="D42" s="10" t="s">
        <v>206</v>
      </c>
      <c r="E42" s="10" t="s">
        <v>234</v>
      </c>
      <c r="F42" s="1" t="s">
        <v>307</v>
      </c>
      <c r="G42" s="1" t="s">
        <v>223</v>
      </c>
    </row>
    <row r="43" spans="1:7" ht="28.8" x14ac:dyDescent="0.3">
      <c r="A43" s="1" t="s">
        <v>308</v>
      </c>
      <c r="B43" s="1" t="s">
        <v>102</v>
      </c>
      <c r="C43" s="10" t="s">
        <v>124</v>
      </c>
      <c r="D43" s="10" t="s">
        <v>168</v>
      </c>
      <c r="E43" s="10" t="s">
        <v>126</v>
      </c>
      <c r="F43" s="1" t="s">
        <v>309</v>
      </c>
      <c r="G43" s="1" t="s">
        <v>134</v>
      </c>
    </row>
    <row r="44" spans="1:7" x14ac:dyDescent="0.3">
      <c r="A44" s="1" t="s">
        <v>310</v>
      </c>
      <c r="B44" s="1" t="s">
        <v>92</v>
      </c>
      <c r="C44" s="10" t="s">
        <v>188</v>
      </c>
      <c r="D44" s="10" t="s">
        <v>230</v>
      </c>
      <c r="E44" s="10" t="s">
        <v>311</v>
      </c>
      <c r="F44" s="1" t="s">
        <v>312</v>
      </c>
      <c r="G4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A3A1-D0B4-4AF3-9C6A-0578CD4049E2}">
  <dimension ref="A1:K11"/>
  <sheetViews>
    <sheetView workbookViewId="0">
      <selection sqref="A1:K1"/>
    </sheetView>
  </sheetViews>
  <sheetFormatPr defaultRowHeight="14.4" x14ac:dyDescent="0.3"/>
  <cols>
    <col min="1" max="1" width="26.109375" customWidth="1"/>
    <col min="2" max="2" width="13.5546875" customWidth="1"/>
    <col min="3" max="3" width="19.6640625" customWidth="1"/>
    <col min="4" max="4" width="18.33203125" customWidth="1"/>
    <col min="5" max="5" width="23.33203125" customWidth="1"/>
    <col min="6" max="6" width="21.33203125" customWidth="1"/>
    <col min="7" max="7" width="24.109375" customWidth="1"/>
    <col min="8" max="8" width="17" customWidth="1"/>
    <col min="9" max="9" width="16.44140625" customWidth="1"/>
    <col min="10" max="10" width="18.88671875" customWidth="1"/>
    <col min="11" max="11" width="18.6640625" customWidth="1"/>
  </cols>
  <sheetData>
    <row r="1" spans="1:11" x14ac:dyDescent="0.3">
      <c r="A1" s="18" t="s">
        <v>314</v>
      </c>
      <c r="B1" s="18" t="s">
        <v>109</v>
      </c>
      <c r="C1" s="18" t="s">
        <v>315</v>
      </c>
      <c r="D1" s="18" t="s">
        <v>316</v>
      </c>
      <c r="E1" s="18" t="s">
        <v>317</v>
      </c>
      <c r="F1" s="18" t="s">
        <v>318</v>
      </c>
      <c r="G1" s="18" t="s">
        <v>319</v>
      </c>
      <c r="H1" s="18" t="s">
        <v>320</v>
      </c>
      <c r="I1" s="18" t="s">
        <v>321</v>
      </c>
      <c r="J1" s="18" t="s">
        <v>322</v>
      </c>
      <c r="K1" s="18"/>
    </row>
    <row r="2" spans="1:11" x14ac:dyDescent="0.3">
      <c r="A2" t="s">
        <v>323</v>
      </c>
      <c r="B2" t="s">
        <v>3</v>
      </c>
      <c r="C2">
        <v>100</v>
      </c>
      <c r="D2">
        <v>180</v>
      </c>
      <c r="E2">
        <v>12</v>
      </c>
      <c r="F2">
        <v>2700</v>
      </c>
      <c r="G2">
        <v>55</v>
      </c>
      <c r="H2">
        <f t="shared" ref="H2:H11" si="0">(D2/1000)*E2*(C2/100)</f>
        <v>2.16</v>
      </c>
      <c r="I2">
        <f t="shared" ref="I2:I11" si="1">(D2/1000)*F2*(C2/100)</f>
        <v>486</v>
      </c>
      <c r="J2">
        <f t="shared" ref="J2:J11" si="2">(D2/1000)*G2*(C2/100)</f>
        <v>9.9</v>
      </c>
    </row>
    <row r="3" spans="1:11" x14ac:dyDescent="0.3">
      <c r="A3" t="s">
        <v>324</v>
      </c>
      <c r="B3" t="s">
        <v>11</v>
      </c>
      <c r="C3">
        <v>100</v>
      </c>
      <c r="D3">
        <v>450</v>
      </c>
      <c r="E3">
        <v>9.5</v>
      </c>
      <c r="F3">
        <v>90</v>
      </c>
      <c r="G3">
        <v>95</v>
      </c>
      <c r="H3">
        <f t="shared" si="0"/>
        <v>4.2750000000000004</v>
      </c>
      <c r="I3">
        <f t="shared" si="1"/>
        <v>40.5</v>
      </c>
      <c r="J3">
        <f t="shared" si="2"/>
        <v>42.75</v>
      </c>
    </row>
    <row r="4" spans="1:11" x14ac:dyDescent="0.3">
      <c r="A4" t="s">
        <v>325</v>
      </c>
      <c r="B4" t="s">
        <v>3</v>
      </c>
      <c r="C4">
        <v>100</v>
      </c>
      <c r="D4">
        <v>650</v>
      </c>
      <c r="E4">
        <v>12</v>
      </c>
      <c r="F4">
        <v>2700</v>
      </c>
      <c r="G4">
        <v>55</v>
      </c>
      <c r="H4">
        <f t="shared" si="0"/>
        <v>7.8000000000000007</v>
      </c>
      <c r="I4">
        <f t="shared" si="1"/>
        <v>1755</v>
      </c>
      <c r="J4">
        <f t="shared" si="2"/>
        <v>35.75</v>
      </c>
    </row>
    <row r="5" spans="1:11" x14ac:dyDescent="0.3">
      <c r="A5" t="s">
        <v>326</v>
      </c>
      <c r="B5" t="s">
        <v>327</v>
      </c>
      <c r="C5">
        <v>100</v>
      </c>
      <c r="D5">
        <v>300</v>
      </c>
      <c r="E5">
        <v>8.5</v>
      </c>
      <c r="F5">
        <v>3500</v>
      </c>
      <c r="G5">
        <v>65</v>
      </c>
      <c r="H5">
        <f t="shared" si="0"/>
        <v>2.5499999999999998</v>
      </c>
      <c r="I5">
        <f t="shared" si="1"/>
        <v>1050</v>
      </c>
      <c r="J5">
        <f t="shared" si="2"/>
        <v>19.5</v>
      </c>
    </row>
    <row r="6" spans="1:11" x14ac:dyDescent="0.3">
      <c r="A6" t="s">
        <v>328</v>
      </c>
      <c r="B6" t="s">
        <v>329</v>
      </c>
      <c r="C6">
        <v>100</v>
      </c>
      <c r="D6">
        <v>700</v>
      </c>
      <c r="E6">
        <v>10</v>
      </c>
      <c r="F6">
        <v>100</v>
      </c>
      <c r="G6">
        <v>110</v>
      </c>
      <c r="H6">
        <f t="shared" si="0"/>
        <v>7</v>
      </c>
      <c r="I6">
        <f t="shared" si="1"/>
        <v>70</v>
      </c>
      <c r="J6">
        <f t="shared" si="2"/>
        <v>77</v>
      </c>
    </row>
    <row r="7" spans="1:11" x14ac:dyDescent="0.3">
      <c r="A7" t="s">
        <v>330</v>
      </c>
      <c r="B7" t="s">
        <v>17</v>
      </c>
      <c r="C7">
        <v>100</v>
      </c>
      <c r="D7">
        <v>500</v>
      </c>
      <c r="E7">
        <v>23</v>
      </c>
      <c r="F7">
        <v>15000</v>
      </c>
      <c r="G7">
        <v>120</v>
      </c>
      <c r="H7">
        <f t="shared" si="0"/>
        <v>11.5</v>
      </c>
      <c r="I7">
        <f t="shared" si="1"/>
        <v>7500</v>
      </c>
      <c r="J7">
        <f t="shared" si="2"/>
        <v>60</v>
      </c>
    </row>
    <row r="8" spans="1:11" x14ac:dyDescent="0.3">
      <c r="A8" t="s">
        <v>331</v>
      </c>
      <c r="B8" t="s">
        <v>332</v>
      </c>
      <c r="C8">
        <v>20</v>
      </c>
      <c r="D8">
        <v>220</v>
      </c>
      <c r="E8">
        <v>30</v>
      </c>
      <c r="F8">
        <v>2000</v>
      </c>
      <c r="G8">
        <v>150</v>
      </c>
      <c r="H8">
        <f t="shared" si="0"/>
        <v>1.32</v>
      </c>
      <c r="I8">
        <f t="shared" si="1"/>
        <v>88</v>
      </c>
      <c r="J8">
        <f t="shared" si="2"/>
        <v>6.6000000000000005</v>
      </c>
    </row>
    <row r="9" spans="1:11" x14ac:dyDescent="0.3">
      <c r="A9" t="s">
        <v>333</v>
      </c>
      <c r="B9" t="s">
        <v>3</v>
      </c>
      <c r="C9">
        <v>100</v>
      </c>
      <c r="D9">
        <v>250</v>
      </c>
      <c r="E9">
        <v>12</v>
      </c>
      <c r="F9">
        <v>2700</v>
      </c>
      <c r="G9">
        <v>55</v>
      </c>
      <c r="H9">
        <f t="shared" si="0"/>
        <v>3</v>
      </c>
      <c r="I9">
        <f t="shared" si="1"/>
        <v>675</v>
      </c>
      <c r="J9">
        <f t="shared" si="2"/>
        <v>13.75</v>
      </c>
    </row>
    <row r="10" spans="1:11" x14ac:dyDescent="0.3">
      <c r="A10" t="s">
        <v>334</v>
      </c>
      <c r="B10" t="s">
        <v>11</v>
      </c>
      <c r="C10">
        <v>100</v>
      </c>
      <c r="D10">
        <v>200</v>
      </c>
      <c r="E10">
        <v>9.5</v>
      </c>
      <c r="F10">
        <v>90</v>
      </c>
      <c r="G10">
        <v>95</v>
      </c>
      <c r="H10">
        <f t="shared" si="0"/>
        <v>1.9000000000000001</v>
      </c>
      <c r="I10">
        <f t="shared" si="1"/>
        <v>18</v>
      </c>
      <c r="J10">
        <f t="shared" si="2"/>
        <v>19</v>
      </c>
    </row>
    <row r="11" spans="1:11" x14ac:dyDescent="0.3">
      <c r="A11" t="s">
        <v>335</v>
      </c>
      <c r="B11" t="s">
        <v>3</v>
      </c>
      <c r="C11">
        <v>100</v>
      </c>
      <c r="D11">
        <v>220</v>
      </c>
      <c r="E11">
        <v>12</v>
      </c>
      <c r="F11">
        <v>2700</v>
      </c>
      <c r="G11">
        <v>55</v>
      </c>
      <c r="H11">
        <f t="shared" si="0"/>
        <v>2.64</v>
      </c>
      <c r="I11">
        <f t="shared" si="1"/>
        <v>594</v>
      </c>
      <c r="J11">
        <f t="shared" si="2"/>
        <v>12.1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4D16-857D-460F-9BA2-96CAC4CCE81C}">
  <dimension ref="A1:C21"/>
  <sheetViews>
    <sheetView workbookViewId="0">
      <selection activeCell="B24" sqref="B24"/>
    </sheetView>
  </sheetViews>
  <sheetFormatPr defaultRowHeight="14.4" x14ac:dyDescent="0.3"/>
  <cols>
    <col min="1" max="3" width="30" customWidth="1"/>
  </cols>
  <sheetData>
    <row r="1" spans="1:3" x14ac:dyDescent="0.3">
      <c r="A1" s="18" t="s">
        <v>377</v>
      </c>
      <c r="B1" s="18" t="s">
        <v>376</v>
      </c>
      <c r="C1" s="18" t="s">
        <v>375</v>
      </c>
    </row>
    <row r="2" spans="1:3" x14ac:dyDescent="0.3">
      <c r="A2" t="s">
        <v>374</v>
      </c>
      <c r="B2">
        <v>0.35</v>
      </c>
      <c r="C2" t="s">
        <v>373</v>
      </c>
    </row>
    <row r="3" spans="1:3" x14ac:dyDescent="0.3">
      <c r="A3" t="s">
        <v>372</v>
      </c>
      <c r="B3">
        <v>0.25</v>
      </c>
      <c r="C3" t="s">
        <v>371</v>
      </c>
    </row>
    <row r="4" spans="1:3" x14ac:dyDescent="0.3">
      <c r="A4" t="s">
        <v>370</v>
      </c>
      <c r="B4">
        <v>0.15</v>
      </c>
      <c r="C4" t="s">
        <v>369</v>
      </c>
    </row>
    <row r="5" spans="1:3" x14ac:dyDescent="0.3">
      <c r="A5" t="s">
        <v>368</v>
      </c>
      <c r="B5">
        <v>0.15</v>
      </c>
      <c r="C5" t="s">
        <v>367</v>
      </c>
    </row>
    <row r="6" spans="1:3" x14ac:dyDescent="0.3">
      <c r="A6" t="s">
        <v>366</v>
      </c>
      <c r="B6">
        <v>0.1</v>
      </c>
      <c r="C6" t="s">
        <v>365</v>
      </c>
    </row>
    <row r="7" spans="1:3" x14ac:dyDescent="0.3">
      <c r="A7" t="s">
        <v>364</v>
      </c>
      <c r="B7">
        <v>60</v>
      </c>
      <c r="C7" t="s">
        <v>363</v>
      </c>
    </row>
    <row r="8" spans="1:3" x14ac:dyDescent="0.3">
      <c r="A8" t="s">
        <v>362</v>
      </c>
      <c r="B8">
        <v>0</v>
      </c>
      <c r="C8" t="s">
        <v>361</v>
      </c>
    </row>
    <row r="9" spans="1:3" x14ac:dyDescent="0.3">
      <c r="A9" t="s">
        <v>360</v>
      </c>
      <c r="B9">
        <v>30000</v>
      </c>
      <c r="C9" t="s">
        <v>359</v>
      </c>
    </row>
    <row r="10" spans="1:3" x14ac:dyDescent="0.3">
      <c r="A10" t="s">
        <v>358</v>
      </c>
      <c r="B10">
        <v>0</v>
      </c>
      <c r="C10" t="s">
        <v>354</v>
      </c>
    </row>
    <row r="11" spans="1:3" x14ac:dyDescent="0.3">
      <c r="A11" t="s">
        <v>357</v>
      </c>
      <c r="B11">
        <v>400</v>
      </c>
      <c r="C11" t="s">
        <v>356</v>
      </c>
    </row>
    <row r="12" spans="1:3" x14ac:dyDescent="0.3">
      <c r="A12" t="s">
        <v>355</v>
      </c>
      <c r="B12">
        <v>0</v>
      </c>
      <c r="C12" t="s">
        <v>354</v>
      </c>
    </row>
    <row r="13" spans="1:3" x14ac:dyDescent="0.3">
      <c r="A13" t="s">
        <v>353</v>
      </c>
      <c r="B13">
        <v>10</v>
      </c>
      <c r="C13" t="s">
        <v>352</v>
      </c>
    </row>
    <row r="14" spans="1:3" x14ac:dyDescent="0.3">
      <c r="A14" t="s">
        <v>351</v>
      </c>
      <c r="B14">
        <v>0</v>
      </c>
      <c r="C14" t="s">
        <v>350</v>
      </c>
    </row>
    <row r="15" spans="1:3" x14ac:dyDescent="0.3">
      <c r="A15" t="s">
        <v>349</v>
      </c>
      <c r="B15">
        <v>0</v>
      </c>
      <c r="C15" t="s">
        <v>348</v>
      </c>
    </row>
    <row r="16" spans="1:3" x14ac:dyDescent="0.3">
      <c r="A16" t="s">
        <v>347</v>
      </c>
      <c r="B16">
        <v>100</v>
      </c>
      <c r="C16" t="s">
        <v>346</v>
      </c>
    </row>
    <row r="17" spans="1:3" x14ac:dyDescent="0.3">
      <c r="A17" t="s">
        <v>345</v>
      </c>
      <c r="B17">
        <v>90</v>
      </c>
      <c r="C17" t="s">
        <v>344</v>
      </c>
    </row>
    <row r="18" spans="1:3" x14ac:dyDescent="0.3">
      <c r="A18" t="s">
        <v>343</v>
      </c>
      <c r="B18">
        <v>75</v>
      </c>
      <c r="C18" t="s">
        <v>342</v>
      </c>
    </row>
    <row r="19" spans="1:3" x14ac:dyDescent="0.3">
      <c r="A19" t="s">
        <v>341</v>
      </c>
      <c r="B19">
        <v>50</v>
      </c>
      <c r="C19" t="s">
        <v>340</v>
      </c>
    </row>
    <row r="20" spans="1:3" x14ac:dyDescent="0.3">
      <c r="A20" t="s">
        <v>339</v>
      </c>
      <c r="B20">
        <v>25</v>
      </c>
      <c r="C20" t="s">
        <v>338</v>
      </c>
    </row>
    <row r="21" spans="1:3" x14ac:dyDescent="0.3">
      <c r="A21" t="s">
        <v>337</v>
      </c>
      <c r="B21">
        <v>0</v>
      </c>
      <c r="C21" t="s">
        <v>336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AF5B-CAD8-49EA-AE3C-D68A764A46F1}">
  <dimension ref="A1:C6"/>
  <sheetViews>
    <sheetView workbookViewId="0"/>
  </sheetViews>
  <sheetFormatPr defaultRowHeight="14.4" x14ac:dyDescent="0.3"/>
  <cols>
    <col min="1" max="1" width="57.6640625" customWidth="1"/>
    <col min="2" max="2" width="81" customWidth="1"/>
    <col min="3" max="3" width="50" customWidth="1"/>
  </cols>
  <sheetData>
    <row r="1" spans="1:3" x14ac:dyDescent="0.3">
      <c r="A1" t="s">
        <v>395</v>
      </c>
      <c r="B1" t="s">
        <v>394</v>
      </c>
      <c r="C1" t="s">
        <v>393</v>
      </c>
    </row>
    <row r="2" spans="1:3" x14ac:dyDescent="0.3">
      <c r="A2" t="s">
        <v>392</v>
      </c>
      <c r="B2" t="s">
        <v>391</v>
      </c>
      <c r="C2" t="s">
        <v>390</v>
      </c>
    </row>
    <row r="3" spans="1:3" x14ac:dyDescent="0.3">
      <c r="A3" t="s">
        <v>389</v>
      </c>
      <c r="B3" t="s">
        <v>388</v>
      </c>
      <c r="C3" t="s">
        <v>387</v>
      </c>
    </row>
    <row r="4" spans="1:3" x14ac:dyDescent="0.3">
      <c r="A4" t="s">
        <v>386</v>
      </c>
      <c r="B4" t="s">
        <v>385</v>
      </c>
      <c r="C4" t="s">
        <v>384</v>
      </c>
    </row>
    <row r="5" spans="1:3" x14ac:dyDescent="0.3">
      <c r="A5" t="s">
        <v>383</v>
      </c>
      <c r="B5" t="s">
        <v>382</v>
      </c>
      <c r="C5" t="s">
        <v>381</v>
      </c>
    </row>
    <row r="6" spans="1:3" x14ac:dyDescent="0.3">
      <c r="A6" t="s">
        <v>380</v>
      </c>
      <c r="B6" t="s">
        <v>379</v>
      </c>
      <c r="C6" t="s">
        <v>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5600-5585-4742-BF7F-0848EC15460E}">
  <dimension ref="A1:H15"/>
  <sheetViews>
    <sheetView workbookViewId="0">
      <selection activeCell="D21" sqref="D21"/>
    </sheetView>
  </sheetViews>
  <sheetFormatPr defaultRowHeight="14.4" x14ac:dyDescent="0.3"/>
  <cols>
    <col min="1" max="8" width="20" customWidth="1"/>
  </cols>
  <sheetData>
    <row r="1" spans="1:8" x14ac:dyDescent="0.3">
      <c r="A1" s="18" t="s">
        <v>109</v>
      </c>
      <c r="B1" s="18" t="s">
        <v>1</v>
      </c>
      <c r="C1" s="18" t="s">
        <v>426</v>
      </c>
      <c r="D1" s="18" t="s">
        <v>425</v>
      </c>
      <c r="E1" s="18" t="s">
        <v>424</v>
      </c>
      <c r="F1" s="18" t="s">
        <v>423</v>
      </c>
      <c r="G1" s="18" t="s">
        <v>422</v>
      </c>
      <c r="H1" s="18" t="s">
        <v>375</v>
      </c>
    </row>
    <row r="2" spans="1:8" x14ac:dyDescent="0.3">
      <c r="A2" t="s">
        <v>421</v>
      </c>
      <c r="B2" t="s">
        <v>409</v>
      </c>
      <c r="C2">
        <v>2.2000000000000002</v>
      </c>
      <c r="D2">
        <v>12500</v>
      </c>
      <c r="E2">
        <v>50</v>
      </c>
      <c r="F2">
        <v>6</v>
      </c>
      <c r="G2">
        <v>60</v>
      </c>
      <c r="H2" t="s">
        <v>420</v>
      </c>
    </row>
    <row r="3" spans="1:8" x14ac:dyDescent="0.3">
      <c r="A3" t="s">
        <v>419</v>
      </c>
      <c r="B3" t="s">
        <v>409</v>
      </c>
      <c r="C3">
        <v>1.5</v>
      </c>
      <c r="D3">
        <v>9000</v>
      </c>
      <c r="E3">
        <v>50</v>
      </c>
      <c r="F3">
        <v>3</v>
      </c>
      <c r="G3">
        <v>60</v>
      </c>
      <c r="H3" t="s">
        <v>418</v>
      </c>
    </row>
    <row r="4" spans="1:8" x14ac:dyDescent="0.3">
      <c r="A4" t="s">
        <v>417</v>
      </c>
      <c r="B4" t="s">
        <v>44</v>
      </c>
      <c r="C4">
        <v>5.2</v>
      </c>
      <c r="D4">
        <v>95</v>
      </c>
      <c r="E4">
        <v>60</v>
      </c>
      <c r="F4">
        <v>5</v>
      </c>
      <c r="G4">
        <v>50</v>
      </c>
      <c r="H4" t="s">
        <v>416</v>
      </c>
    </row>
    <row r="5" spans="1:8" x14ac:dyDescent="0.3">
      <c r="A5" t="s">
        <v>415</v>
      </c>
      <c r="B5" t="s">
        <v>51</v>
      </c>
      <c r="C5">
        <v>1.5</v>
      </c>
      <c r="D5">
        <v>20</v>
      </c>
      <c r="E5">
        <v>30</v>
      </c>
      <c r="F5">
        <v>3</v>
      </c>
      <c r="G5">
        <v>70</v>
      </c>
      <c r="H5" t="s">
        <v>414</v>
      </c>
    </row>
    <row r="6" spans="1:8" x14ac:dyDescent="0.3">
      <c r="A6" t="s">
        <v>413</v>
      </c>
      <c r="B6" t="s">
        <v>44</v>
      </c>
      <c r="C6">
        <v>10</v>
      </c>
      <c r="D6">
        <v>120</v>
      </c>
      <c r="E6">
        <v>85</v>
      </c>
      <c r="F6">
        <v>7</v>
      </c>
      <c r="G6">
        <v>45</v>
      </c>
      <c r="H6" t="s">
        <v>412</v>
      </c>
    </row>
    <row r="7" spans="1:8" x14ac:dyDescent="0.3">
      <c r="A7" t="s">
        <v>411</v>
      </c>
      <c r="B7" t="s">
        <v>51</v>
      </c>
      <c r="C7">
        <v>3.5</v>
      </c>
      <c r="D7">
        <v>50</v>
      </c>
      <c r="E7">
        <v>40</v>
      </c>
      <c r="F7">
        <v>5</v>
      </c>
      <c r="G7">
        <v>65</v>
      </c>
      <c r="H7" t="s">
        <v>215</v>
      </c>
    </row>
    <row r="8" spans="1:8" x14ac:dyDescent="0.3">
      <c r="A8" t="s">
        <v>17</v>
      </c>
      <c r="B8" t="s">
        <v>409</v>
      </c>
      <c r="C8">
        <v>12</v>
      </c>
      <c r="D8">
        <v>10000</v>
      </c>
      <c r="E8">
        <v>95</v>
      </c>
      <c r="F8">
        <v>4</v>
      </c>
      <c r="G8">
        <v>70</v>
      </c>
      <c r="H8" t="s">
        <v>410</v>
      </c>
    </row>
    <row r="9" spans="1:8" x14ac:dyDescent="0.3">
      <c r="A9" t="s">
        <v>5</v>
      </c>
      <c r="B9" t="s">
        <v>409</v>
      </c>
      <c r="C9">
        <v>4.5</v>
      </c>
      <c r="D9">
        <v>5000</v>
      </c>
      <c r="E9">
        <v>65</v>
      </c>
      <c r="F9">
        <v>3</v>
      </c>
      <c r="G9">
        <v>60</v>
      </c>
      <c r="H9" t="s">
        <v>408</v>
      </c>
    </row>
    <row r="10" spans="1:8" x14ac:dyDescent="0.3">
      <c r="A10" t="s">
        <v>38</v>
      </c>
      <c r="B10" t="s">
        <v>36</v>
      </c>
      <c r="C10">
        <v>3.2</v>
      </c>
      <c r="D10">
        <v>765</v>
      </c>
      <c r="E10">
        <v>45</v>
      </c>
      <c r="F10">
        <v>2</v>
      </c>
      <c r="G10">
        <v>75</v>
      </c>
      <c r="H10" t="s">
        <v>407</v>
      </c>
    </row>
    <row r="11" spans="1:8" x14ac:dyDescent="0.3">
      <c r="A11" t="s">
        <v>406</v>
      </c>
      <c r="B11" t="s">
        <v>36</v>
      </c>
      <c r="C11">
        <v>3.75</v>
      </c>
      <c r="D11">
        <v>2750</v>
      </c>
      <c r="E11">
        <v>50</v>
      </c>
      <c r="F11">
        <v>6</v>
      </c>
      <c r="G11">
        <v>55</v>
      </c>
      <c r="H11" t="s">
        <v>405</v>
      </c>
    </row>
    <row r="12" spans="1:8" x14ac:dyDescent="0.3">
      <c r="A12" t="s">
        <v>404</v>
      </c>
      <c r="B12" t="s">
        <v>401</v>
      </c>
      <c r="C12">
        <v>7.5</v>
      </c>
      <c r="D12">
        <v>225</v>
      </c>
      <c r="E12">
        <v>90</v>
      </c>
      <c r="F12">
        <v>7</v>
      </c>
      <c r="G12">
        <v>30</v>
      </c>
      <c r="H12" t="s">
        <v>403</v>
      </c>
    </row>
    <row r="13" spans="1:8" x14ac:dyDescent="0.3">
      <c r="A13" t="s">
        <v>402</v>
      </c>
      <c r="B13" t="s">
        <v>401</v>
      </c>
      <c r="C13">
        <v>5</v>
      </c>
      <c r="D13">
        <v>275</v>
      </c>
      <c r="E13">
        <v>70</v>
      </c>
      <c r="F13">
        <v>8</v>
      </c>
      <c r="G13">
        <v>20</v>
      </c>
      <c r="H13" t="s">
        <v>400</v>
      </c>
    </row>
    <row r="14" spans="1:8" x14ac:dyDescent="0.3">
      <c r="A14" t="s">
        <v>399</v>
      </c>
      <c r="B14" t="s">
        <v>398</v>
      </c>
      <c r="C14">
        <v>37.5</v>
      </c>
      <c r="D14">
        <v>10000</v>
      </c>
      <c r="E14">
        <v>250</v>
      </c>
      <c r="F14">
        <v>9</v>
      </c>
      <c r="G14">
        <v>40</v>
      </c>
      <c r="H14" t="s">
        <v>397</v>
      </c>
    </row>
    <row r="15" spans="1:8" x14ac:dyDescent="0.3">
      <c r="A15" t="s">
        <v>332</v>
      </c>
      <c r="B15" t="s">
        <v>44</v>
      </c>
      <c r="C15">
        <v>17.5</v>
      </c>
      <c r="D15">
        <v>55</v>
      </c>
      <c r="E15">
        <v>140</v>
      </c>
      <c r="F15">
        <v>9</v>
      </c>
      <c r="G15">
        <v>10</v>
      </c>
      <c r="H15" t="s">
        <v>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0B84F-C276-42DF-BAF2-5CABCFC5A9A2}">
  <dimension ref="A1:T14"/>
  <sheetViews>
    <sheetView workbookViewId="0">
      <selection activeCell="B17" sqref="B17"/>
    </sheetView>
  </sheetViews>
  <sheetFormatPr defaultRowHeight="14.4" x14ac:dyDescent="0.3"/>
  <cols>
    <col min="1" max="20" width="18" customWidth="1"/>
  </cols>
  <sheetData>
    <row r="1" spans="1:20" x14ac:dyDescent="0.3">
      <c r="A1" s="18" t="s">
        <v>313</v>
      </c>
      <c r="B1" s="18" t="s">
        <v>455</v>
      </c>
      <c r="C1" s="18" t="s">
        <v>454</v>
      </c>
      <c r="D1" s="18" t="s">
        <v>453</v>
      </c>
      <c r="E1" s="18" t="s">
        <v>452</v>
      </c>
      <c r="F1" s="18" t="s">
        <v>451</v>
      </c>
      <c r="G1" s="18" t="s">
        <v>450</v>
      </c>
      <c r="H1" s="18" t="s">
        <v>449</v>
      </c>
      <c r="I1" s="18" t="s">
        <v>448</v>
      </c>
      <c r="J1" s="18" t="s">
        <v>447</v>
      </c>
      <c r="K1" s="18" t="s">
        <v>446</v>
      </c>
      <c r="L1" s="18" t="s">
        <v>445</v>
      </c>
      <c r="M1" s="18" t="s">
        <v>444</v>
      </c>
      <c r="N1" s="18" t="s">
        <v>443</v>
      </c>
      <c r="O1" s="18" t="s">
        <v>442</v>
      </c>
      <c r="P1" s="18" t="s">
        <v>441</v>
      </c>
      <c r="Q1" s="18" t="s">
        <v>440</v>
      </c>
      <c r="R1" s="18" t="s">
        <v>439</v>
      </c>
      <c r="S1" s="18" t="s">
        <v>438</v>
      </c>
      <c r="T1" s="18" t="s">
        <v>437</v>
      </c>
    </row>
    <row r="2" spans="1:20" x14ac:dyDescent="0.3">
      <c r="A2" t="s">
        <v>323</v>
      </c>
      <c r="B2" t="s">
        <v>436</v>
      </c>
      <c r="C2" t="s">
        <v>421</v>
      </c>
      <c r="D2">
        <v>180</v>
      </c>
      <c r="E2">
        <v>100</v>
      </c>
      <c r="F2">
        <f>IFERROR(INDEX(Materials!C:C,MATCH(C2,Materials!A:A,0)),"")</f>
        <v>2.2000000000000002</v>
      </c>
      <c r="G2">
        <f>IFERROR(INDEX(Materials!D:D,MATCH(C2,Materials!A:A,0)),"")</f>
        <v>12500</v>
      </c>
      <c r="H2">
        <f>IFERROR(INDEX(Materials!E:E,MATCH(C2,Materials!A:A,0)),"")</f>
        <v>50</v>
      </c>
      <c r="I2">
        <f>IFERROR(INDEX(Materials!F:F,MATCH(C2,Materials!A:A,0)),"")</f>
        <v>6</v>
      </c>
      <c r="J2">
        <f>IFERROR(INDEX(Materials!G:G,MATCH(C2,Materials!A:A,0)),"")</f>
        <v>60</v>
      </c>
      <c r="K2">
        <f t="shared" ref="K2:K7" si="0">IF(F2&lt;&gt;"",(D2/1000)*F2*(E2/100),"")</f>
        <v>0.39600000000000002</v>
      </c>
      <c r="L2">
        <f t="shared" ref="L2:L7" si="1">IF(G2&lt;&gt;"",(D2/1000)*G2*(E2/100),"")</f>
        <v>2250</v>
      </c>
      <c r="M2">
        <f t="shared" ref="M2:M7" si="2">IF(H2&lt;&gt;"",(D2/1000)*H2*(E2/100),"")</f>
        <v>9</v>
      </c>
      <c r="N2">
        <f>IF(F2="","",MAX(0,MIN(100,(1-((F2-[1]Parameters!$B$8)/([1]Parameters!$B$7-[1]Parameters!$B$8)))*100)))</f>
        <v>96.333333333333343</v>
      </c>
      <c r="O2">
        <f>IF(G2="","",MAX(0,MIN(100,(1-((G2-[1]Parameters!$B$10)/([1]Parameters!$B$9-[1]Parameters!$B$10)))*100)))</f>
        <v>58.333333333333329</v>
      </c>
      <c r="P2">
        <f>IF(H2="","",MAX(0,MIN(100,(1-((H2-[1]Parameters!$B$12)/([1]Parameters!$B$11-[1]Parameters!$B$12)))*100)))</f>
        <v>87.5</v>
      </c>
      <c r="Q2">
        <f>IF(I2="","",MAX(0,MIN(100,(1-((I2-[1]Parameters!$B$14)/([1]Parameters!$B$13-[1]Parameters!$B$14)))*100)))</f>
        <v>40</v>
      </c>
      <c r="R2">
        <f t="shared" ref="R2:R7" si="3">IF(J2="","",J2)</f>
        <v>60</v>
      </c>
      <c r="S2">
        <f>IF(N2="","",N2*[1]Parameters!$B$2 + O2*[1]Parameters!$B$3 + P2*[1]Parameters!$B$4 + Q2*[1]Parameters!$B$5 + R2*[1]Parameters!$B$6)</f>
        <v>73.424999999999997</v>
      </c>
      <c r="T2" t="str">
        <f t="shared" ref="T2:T7" si="4">IF(S2="","",IF(S2&gt;=$B$16,"A",IF(S2&gt;=$B$17,"B",IF(S2&gt;=$B$18,"C",IF(S2&gt;=$B$19,"D","E")))))</f>
        <v>A</v>
      </c>
    </row>
    <row r="3" spans="1:20" x14ac:dyDescent="0.3">
      <c r="A3" t="s">
        <v>325</v>
      </c>
      <c r="B3" t="s">
        <v>436</v>
      </c>
      <c r="C3" t="s">
        <v>421</v>
      </c>
      <c r="D3">
        <v>800</v>
      </c>
      <c r="E3">
        <v>100</v>
      </c>
      <c r="F3">
        <f>IFERROR(INDEX(Materials!C:C,MATCH(C3,Materials!A:A,0)),"")</f>
        <v>2.2000000000000002</v>
      </c>
      <c r="G3">
        <f>IFERROR(INDEX(Materials!D:D,MATCH(C3,Materials!A:A,0)),"")</f>
        <v>12500</v>
      </c>
      <c r="H3">
        <f>IFERROR(INDEX(Materials!E:E,MATCH(C3,Materials!A:A,0)),"")</f>
        <v>50</v>
      </c>
      <c r="I3">
        <f>IFERROR(INDEX(Materials!F:F,MATCH(C3,Materials!A:A,0)),"")</f>
        <v>6</v>
      </c>
      <c r="J3">
        <f>IFERROR(INDEX(Materials!G:G,MATCH(C3,Materials!A:A,0)),"")</f>
        <v>60</v>
      </c>
      <c r="K3">
        <f t="shared" si="0"/>
        <v>1.7600000000000002</v>
      </c>
      <c r="L3">
        <f t="shared" si="1"/>
        <v>10000</v>
      </c>
      <c r="M3">
        <f t="shared" si="2"/>
        <v>40</v>
      </c>
      <c r="N3">
        <f>IF(F3="","",MAX(0,MIN(100,(1-((F3-[1]Parameters!$B$8)/([1]Parameters!$B$7-[1]Parameters!$B$8)))*100)))</f>
        <v>96.333333333333343</v>
      </c>
      <c r="O3">
        <f>IF(G3="","",MAX(0,MIN(100,(1-((G3-[1]Parameters!$B$10)/([1]Parameters!$B$9-[1]Parameters!$B$10)))*100)))</f>
        <v>58.333333333333329</v>
      </c>
      <c r="P3">
        <f>IF(H3="","",MAX(0,MIN(100,(1-((H3-[1]Parameters!$B$12)/([1]Parameters!$B$11-[1]Parameters!$B$12)))*100)))</f>
        <v>87.5</v>
      </c>
      <c r="Q3">
        <f>IF(I3="","",MAX(0,MIN(100,(1-((I3-[1]Parameters!$B$14)/([1]Parameters!$B$13-[1]Parameters!$B$14)))*100)))</f>
        <v>40</v>
      </c>
      <c r="R3">
        <f t="shared" si="3"/>
        <v>60</v>
      </c>
      <c r="S3">
        <f>IF(N3="","",N3*[1]Parameters!$B$2 + O3*[1]Parameters!$B$3 + P3*[1]Parameters!$B$4 + Q3*[1]Parameters!$B$5 + R3*[1]Parameters!$B$6)</f>
        <v>73.424999999999997</v>
      </c>
      <c r="T3" t="str">
        <f t="shared" si="4"/>
        <v>A</v>
      </c>
    </row>
    <row r="4" spans="1:20" x14ac:dyDescent="0.3">
      <c r="A4" t="s">
        <v>428</v>
      </c>
      <c r="B4" t="s">
        <v>436</v>
      </c>
      <c r="C4" t="s">
        <v>417</v>
      </c>
      <c r="D4">
        <v>400</v>
      </c>
      <c r="E4">
        <v>100</v>
      </c>
      <c r="F4">
        <f>IFERROR(INDEX(Materials!C:C,MATCH(C4,Materials!A:A,0)),"")</f>
        <v>5.2</v>
      </c>
      <c r="G4">
        <f>IFERROR(INDEX(Materials!D:D,MATCH(C4,Materials!A:A,0)),"")</f>
        <v>95</v>
      </c>
      <c r="H4">
        <f>IFERROR(INDEX(Materials!E:E,MATCH(C4,Materials!A:A,0)),"")</f>
        <v>60</v>
      </c>
      <c r="I4">
        <f>IFERROR(INDEX(Materials!F:F,MATCH(C4,Materials!A:A,0)),"")</f>
        <v>5</v>
      </c>
      <c r="J4">
        <f>IFERROR(INDEX(Materials!G:G,MATCH(C4,Materials!A:A,0)),"")</f>
        <v>50</v>
      </c>
      <c r="K4">
        <f t="shared" si="0"/>
        <v>2.08</v>
      </c>
      <c r="L4">
        <f t="shared" si="1"/>
        <v>38</v>
      </c>
      <c r="M4">
        <f t="shared" si="2"/>
        <v>24</v>
      </c>
      <c r="N4">
        <f>IF(F4="","",MAX(0,MIN(100,(1-((F4-[1]Parameters!$B$8)/([1]Parameters!$B$7-[1]Parameters!$B$8)))*100)))</f>
        <v>91.333333333333329</v>
      </c>
      <c r="O4">
        <f>IF(G4="","",MAX(0,MIN(100,(1-((G4-[1]Parameters!$B$10)/([1]Parameters!$B$9-[1]Parameters!$B$10)))*100)))</f>
        <v>99.683333333333337</v>
      </c>
      <c r="P4">
        <f>IF(H4="","",MAX(0,MIN(100,(1-((H4-[1]Parameters!$B$12)/([1]Parameters!$B$11-[1]Parameters!$B$12)))*100)))</f>
        <v>85</v>
      </c>
      <c r="Q4">
        <f>IF(I4="","",MAX(0,MIN(100,(1-((I4-[1]Parameters!$B$14)/([1]Parameters!$B$13-[1]Parameters!$B$14)))*100)))</f>
        <v>50</v>
      </c>
      <c r="R4">
        <f t="shared" si="3"/>
        <v>50</v>
      </c>
      <c r="S4">
        <f>IF(N4="","",N4*[1]Parameters!$B$2 + O4*[1]Parameters!$B$3 + P4*[1]Parameters!$B$4 + Q4*[1]Parameters!$B$5 + R4*[1]Parameters!$B$6)</f>
        <v>82.137499999999989</v>
      </c>
      <c r="T4" t="str">
        <f t="shared" si="4"/>
        <v>A</v>
      </c>
    </row>
    <row r="5" spans="1:20" x14ac:dyDescent="0.3">
      <c r="A5" t="s">
        <v>427</v>
      </c>
      <c r="B5" t="s">
        <v>435</v>
      </c>
      <c r="C5" t="s">
        <v>404</v>
      </c>
      <c r="D5">
        <v>600</v>
      </c>
      <c r="E5">
        <v>77</v>
      </c>
      <c r="F5">
        <f>IFERROR(INDEX(Materials!C:C,MATCH(C5,Materials!A:A,0)),"")</f>
        <v>7.5</v>
      </c>
      <c r="G5">
        <f>IFERROR(INDEX(Materials!D:D,MATCH(C5,Materials!A:A,0)),"")</f>
        <v>225</v>
      </c>
      <c r="H5">
        <f>IFERROR(INDEX(Materials!E:E,MATCH(C5,Materials!A:A,0)),"")</f>
        <v>90</v>
      </c>
      <c r="I5">
        <f>IFERROR(INDEX(Materials!F:F,MATCH(C5,Materials!A:A,0)),"")</f>
        <v>7</v>
      </c>
      <c r="J5">
        <f>IFERROR(INDEX(Materials!G:G,MATCH(C5,Materials!A:A,0)),"")</f>
        <v>30</v>
      </c>
      <c r="K5">
        <f t="shared" si="0"/>
        <v>3.4649999999999999</v>
      </c>
      <c r="L5">
        <f t="shared" si="1"/>
        <v>103.95</v>
      </c>
      <c r="M5">
        <f t="shared" si="2"/>
        <v>41.58</v>
      </c>
      <c r="N5">
        <f>IF(F5="","",MAX(0,MIN(100,(1-((F5-[1]Parameters!$B$8)/([1]Parameters!$B$7-[1]Parameters!$B$8)))*100)))</f>
        <v>87.5</v>
      </c>
      <c r="O5">
        <f>IF(G5="","",MAX(0,MIN(100,(1-((G5-[1]Parameters!$B$10)/([1]Parameters!$B$9-[1]Parameters!$B$10)))*100)))</f>
        <v>99.25</v>
      </c>
      <c r="P5">
        <f>IF(H5="","",MAX(0,MIN(100,(1-((H5-[1]Parameters!$B$12)/([1]Parameters!$B$11-[1]Parameters!$B$12)))*100)))</f>
        <v>77.5</v>
      </c>
      <c r="Q5">
        <f>IF(I5="","",MAX(0,MIN(100,(1-((I5-[1]Parameters!$B$14)/([1]Parameters!$B$13-[1]Parameters!$B$14)))*100)))</f>
        <v>30.000000000000004</v>
      </c>
      <c r="R5">
        <f t="shared" si="3"/>
        <v>30</v>
      </c>
      <c r="S5">
        <f>IF(N5="","",N5*[1]Parameters!$B$2 + O5*[1]Parameters!$B$3 + P5*[1]Parameters!$B$4 + Q5*[1]Parameters!$B$5 + R5*[1]Parameters!$B$6)</f>
        <v>74.5625</v>
      </c>
      <c r="T5" t="str">
        <f t="shared" si="4"/>
        <v>A</v>
      </c>
    </row>
    <row r="6" spans="1:20" x14ac:dyDescent="0.3">
      <c r="A6" t="s">
        <v>427</v>
      </c>
      <c r="B6" t="s">
        <v>434</v>
      </c>
      <c r="C6" t="s">
        <v>413</v>
      </c>
      <c r="D6">
        <v>150</v>
      </c>
      <c r="E6">
        <v>19</v>
      </c>
      <c r="F6">
        <f>IFERROR(INDEX(Materials!C:C,MATCH(C6,Materials!A:A,0)),"")</f>
        <v>10</v>
      </c>
      <c r="G6">
        <f>IFERROR(INDEX(Materials!D:D,MATCH(C6,Materials!A:A,0)),"")</f>
        <v>120</v>
      </c>
      <c r="H6">
        <f>IFERROR(INDEX(Materials!E:E,MATCH(C6,Materials!A:A,0)),"")</f>
        <v>85</v>
      </c>
      <c r="I6">
        <f>IFERROR(INDEX(Materials!F:F,MATCH(C6,Materials!A:A,0)),"")</f>
        <v>7</v>
      </c>
      <c r="J6">
        <f>IFERROR(INDEX(Materials!G:G,MATCH(C6,Materials!A:A,0)),"")</f>
        <v>45</v>
      </c>
      <c r="K6">
        <f t="shared" si="0"/>
        <v>0.28500000000000003</v>
      </c>
      <c r="L6">
        <f t="shared" si="1"/>
        <v>3.42</v>
      </c>
      <c r="M6">
        <f t="shared" si="2"/>
        <v>2.4224999999999999</v>
      </c>
      <c r="N6">
        <f>IF(F6="","",MAX(0,MIN(100,(1-((F6-[1]Parameters!$B$8)/([1]Parameters!$B$7-[1]Parameters!$B$8)))*100)))</f>
        <v>83.333333333333343</v>
      </c>
      <c r="O6">
        <f>IF(G6="","",MAX(0,MIN(100,(1-((G6-[1]Parameters!$B$10)/([1]Parameters!$B$9-[1]Parameters!$B$10)))*100)))</f>
        <v>99.6</v>
      </c>
      <c r="P6">
        <f>IF(H6="","",MAX(0,MIN(100,(1-((H6-[1]Parameters!$B$12)/([1]Parameters!$B$11-[1]Parameters!$B$12)))*100)))</f>
        <v>78.75</v>
      </c>
      <c r="Q6">
        <f>IF(I6="","",MAX(0,MIN(100,(1-((I6-[1]Parameters!$B$14)/([1]Parameters!$B$13-[1]Parameters!$B$14)))*100)))</f>
        <v>30.000000000000004</v>
      </c>
      <c r="R6">
        <f t="shared" si="3"/>
        <v>45</v>
      </c>
      <c r="S6">
        <f>IF(N6="","",N6*[1]Parameters!$B$2 + O6*[1]Parameters!$B$3 + P6*[1]Parameters!$B$4 + Q6*[1]Parameters!$B$5 + R6*[1]Parameters!$B$6)</f>
        <v>74.879166666666663</v>
      </c>
      <c r="T6" t="str">
        <f t="shared" si="4"/>
        <v>A</v>
      </c>
    </row>
    <row r="7" spans="1:20" x14ac:dyDescent="0.3">
      <c r="A7" t="s">
        <v>427</v>
      </c>
      <c r="B7" t="s">
        <v>433</v>
      </c>
      <c r="C7" t="s">
        <v>417</v>
      </c>
      <c r="D7">
        <v>30</v>
      </c>
      <c r="E7">
        <v>4</v>
      </c>
      <c r="F7">
        <f>IFERROR(INDEX(Materials!C:C,MATCH(C7,Materials!A:A,0)),"")</f>
        <v>5.2</v>
      </c>
      <c r="G7">
        <f>IFERROR(INDEX(Materials!D:D,MATCH(C7,Materials!A:A,0)),"")</f>
        <v>95</v>
      </c>
      <c r="H7">
        <f>IFERROR(INDEX(Materials!E:E,MATCH(C7,Materials!A:A,0)),"")</f>
        <v>60</v>
      </c>
      <c r="I7">
        <f>IFERROR(INDEX(Materials!F:F,MATCH(C7,Materials!A:A,0)),"")</f>
        <v>5</v>
      </c>
      <c r="J7">
        <f>IFERROR(INDEX(Materials!G:G,MATCH(C7,Materials!A:A,0)),"")</f>
        <v>50</v>
      </c>
      <c r="K7">
        <f t="shared" si="0"/>
        <v>6.2399999999999999E-3</v>
      </c>
      <c r="L7">
        <f t="shared" si="1"/>
        <v>0.114</v>
      </c>
      <c r="M7">
        <f t="shared" si="2"/>
        <v>7.1999999999999995E-2</v>
      </c>
      <c r="N7">
        <f>IF(F7="","",MAX(0,MIN(100,(1-((F7-[1]Parameters!$B$8)/([1]Parameters!$B$7-[1]Parameters!$B$8)))*100)))</f>
        <v>91.333333333333329</v>
      </c>
      <c r="O7">
        <f>IF(G7="","",MAX(0,MIN(100,(1-((G7-[1]Parameters!$B$10)/([1]Parameters!$B$9-[1]Parameters!$B$10)))*100)))</f>
        <v>99.683333333333337</v>
      </c>
      <c r="P7">
        <f>IF(H7="","",MAX(0,MIN(100,(1-((H7-[1]Parameters!$B$12)/([1]Parameters!$B$11-[1]Parameters!$B$12)))*100)))</f>
        <v>85</v>
      </c>
      <c r="Q7">
        <f>IF(I7="","",MAX(0,MIN(100,(1-((I7-[1]Parameters!$B$14)/([1]Parameters!$B$13-[1]Parameters!$B$14)))*100)))</f>
        <v>50</v>
      </c>
      <c r="R7">
        <f t="shared" si="3"/>
        <v>50</v>
      </c>
      <c r="S7">
        <f>IF(N7="","",N7*[1]Parameters!$B$2 + O7*[1]Parameters!$B$3 + P7*[1]Parameters!$B$4 + Q7*[1]Parameters!$B$5 + R7*[1]Parameters!$B$6)</f>
        <v>82.137499999999989</v>
      </c>
      <c r="T7" t="str">
        <f t="shared" si="4"/>
        <v>A</v>
      </c>
    </row>
    <row r="9" spans="1:20" x14ac:dyDescent="0.3">
      <c r="A9" t="s">
        <v>456</v>
      </c>
    </row>
    <row r="10" spans="1:20" x14ac:dyDescent="0.3">
      <c r="A10" s="19" t="s">
        <v>313</v>
      </c>
      <c r="B10" s="17" t="s">
        <v>432</v>
      </c>
      <c r="C10" s="17" t="s">
        <v>431</v>
      </c>
      <c r="D10" s="17" t="s">
        <v>430</v>
      </c>
      <c r="E10" s="17" t="s">
        <v>429</v>
      </c>
    </row>
    <row r="11" spans="1:20" x14ac:dyDescent="0.3">
      <c r="A11" s="19" t="s">
        <v>323</v>
      </c>
      <c r="B11">
        <f>SUMIF(A2:A7,"T-Shirt",K2:K7)</f>
        <v>0.39600000000000002</v>
      </c>
      <c r="C11">
        <f>SUMIF(A2:A7,"T-Shirt",L2:L7)</f>
        <v>2250</v>
      </c>
      <c r="D11">
        <f>SUMIF(A2:A7,"T-Shirt",M2:M7)</f>
        <v>9</v>
      </c>
      <c r="E11">
        <f>IF(COUNTIF(A2:A7,"T-Shirt")=0,"",AVERAGEIF(A2:A7,"T-Shirt",S2:S7))</f>
        <v>73.424999999999997</v>
      </c>
    </row>
    <row r="12" spans="1:20" x14ac:dyDescent="0.3">
      <c r="A12" s="19" t="s">
        <v>325</v>
      </c>
      <c r="B12">
        <f>SUMIF(A2:A7,"Jeans",K2:K7)</f>
        <v>1.7600000000000002</v>
      </c>
      <c r="C12">
        <f>SUMIF(A2:A7,"Jeans",L2:L7)</f>
        <v>10000</v>
      </c>
      <c r="D12">
        <f>SUMIF(A2:A7,"Jeans",M2:M7)</f>
        <v>40</v>
      </c>
      <c r="E12">
        <f>IF(COUNTIF(A2:A7,"Jeans")=0,"",AVERAGEIF(A2:A7,"Jeans",S2:S7))</f>
        <v>73.424999999999997</v>
      </c>
    </row>
    <row r="13" spans="1:20" x14ac:dyDescent="0.3">
      <c r="A13" s="19" t="s">
        <v>428</v>
      </c>
      <c r="B13">
        <f>SUMIF(A2:A7,"Fleece",K2:K7)</f>
        <v>2.08</v>
      </c>
      <c r="C13">
        <f>SUMIF(A2:A7,"Fleece",L2:L7)</f>
        <v>38</v>
      </c>
      <c r="D13">
        <f>SUMIF(A2:A7,"Fleece",M2:M7)</f>
        <v>24</v>
      </c>
      <c r="E13">
        <f>IF(COUNTIF(A2:A7,"Fleece")=0,"",AVERAGEIF(A2:A7,"Fleece",S2:S7))</f>
        <v>82.137499999999989</v>
      </c>
    </row>
    <row r="14" spans="1:20" x14ac:dyDescent="0.3">
      <c r="A14" s="19" t="s">
        <v>427</v>
      </c>
      <c r="B14">
        <f>SUMIF(A2:A7,"Softshell",K2:K7)</f>
        <v>3.75624</v>
      </c>
      <c r="C14">
        <f>SUMIF(A2:A7,"Softshell",L2:L7)</f>
        <v>107.48400000000001</v>
      </c>
      <c r="D14">
        <f>SUMIF(A2:A7,"Softshell",M2:M7)</f>
        <v>44.0745</v>
      </c>
      <c r="E14">
        <f>IF(COUNTIF(A2:A7,"Softshell")=0,"",AVERAGEIF(A2:A7,"Softshell",S2:S7))</f>
        <v>77.193055555555546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76E9D-FCEC-4CB7-83C1-236FBBE8E162}">
  <dimension ref="A1:C14"/>
  <sheetViews>
    <sheetView workbookViewId="0">
      <selection activeCell="B11" sqref="B11"/>
    </sheetView>
  </sheetViews>
  <sheetFormatPr defaultRowHeight="14.4" x14ac:dyDescent="0.3"/>
  <cols>
    <col min="1" max="3" width="30" customWidth="1"/>
  </cols>
  <sheetData>
    <row r="1" spans="1:3" x14ac:dyDescent="0.3">
      <c r="A1" t="s">
        <v>377</v>
      </c>
      <c r="B1" t="s">
        <v>376</v>
      </c>
      <c r="C1" t="s">
        <v>375</v>
      </c>
    </row>
    <row r="2" spans="1:3" x14ac:dyDescent="0.3">
      <c r="A2" t="s">
        <v>374</v>
      </c>
      <c r="B2">
        <v>0.35</v>
      </c>
      <c r="C2" t="s">
        <v>473</v>
      </c>
    </row>
    <row r="3" spans="1:3" x14ac:dyDescent="0.3">
      <c r="A3" t="s">
        <v>372</v>
      </c>
      <c r="B3">
        <v>0.25</v>
      </c>
      <c r="C3" t="s">
        <v>472</v>
      </c>
    </row>
    <row r="4" spans="1:3" x14ac:dyDescent="0.3">
      <c r="A4" t="s">
        <v>370</v>
      </c>
      <c r="B4">
        <v>0.15</v>
      </c>
      <c r="C4" t="s">
        <v>471</v>
      </c>
    </row>
    <row r="5" spans="1:3" x14ac:dyDescent="0.3">
      <c r="A5" t="s">
        <v>368</v>
      </c>
      <c r="B5">
        <v>0.15</v>
      </c>
      <c r="C5" t="s">
        <v>470</v>
      </c>
    </row>
    <row r="6" spans="1:3" x14ac:dyDescent="0.3">
      <c r="A6" t="s">
        <v>366</v>
      </c>
      <c r="B6">
        <v>0.1</v>
      </c>
      <c r="C6" t="s">
        <v>469</v>
      </c>
    </row>
    <row r="7" spans="1:3" x14ac:dyDescent="0.3">
      <c r="A7" t="s">
        <v>468</v>
      </c>
      <c r="B7">
        <v>60</v>
      </c>
      <c r="C7" t="s">
        <v>467</v>
      </c>
    </row>
    <row r="8" spans="1:3" x14ac:dyDescent="0.3">
      <c r="A8" t="s">
        <v>466</v>
      </c>
      <c r="B8">
        <v>0</v>
      </c>
    </row>
    <row r="9" spans="1:3" x14ac:dyDescent="0.3">
      <c r="A9" t="s">
        <v>465</v>
      </c>
      <c r="B9">
        <v>30000</v>
      </c>
      <c r="C9" t="s">
        <v>464</v>
      </c>
    </row>
    <row r="10" spans="1:3" x14ac:dyDescent="0.3">
      <c r="A10" t="s">
        <v>463</v>
      </c>
      <c r="B10">
        <v>0</v>
      </c>
    </row>
    <row r="11" spans="1:3" x14ac:dyDescent="0.3">
      <c r="A11" t="s">
        <v>462</v>
      </c>
      <c r="B11">
        <v>400</v>
      </c>
      <c r="C11" t="s">
        <v>461</v>
      </c>
    </row>
    <row r="12" spans="1:3" x14ac:dyDescent="0.3">
      <c r="A12" t="s">
        <v>460</v>
      </c>
      <c r="B12">
        <v>0</v>
      </c>
    </row>
    <row r="13" spans="1:3" x14ac:dyDescent="0.3">
      <c r="A13" t="s">
        <v>459</v>
      </c>
      <c r="B13">
        <v>10</v>
      </c>
      <c r="C13" t="s">
        <v>458</v>
      </c>
    </row>
    <row r="14" spans="1:3" x14ac:dyDescent="0.3">
      <c r="A14" t="s">
        <v>457</v>
      </c>
      <c r="B14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9D3E-35B0-47EE-8CE2-F0AA86AE4E2E}">
  <dimension ref="A1:H9"/>
  <sheetViews>
    <sheetView workbookViewId="0">
      <selection activeCell="B11" sqref="B11"/>
    </sheetView>
  </sheetViews>
  <sheetFormatPr defaultRowHeight="14.4" x14ac:dyDescent="0.3"/>
  <cols>
    <col min="1" max="8" width="18" customWidth="1"/>
  </cols>
  <sheetData>
    <row r="1" spans="1:8" x14ac:dyDescent="0.3">
      <c r="A1" t="s">
        <v>109</v>
      </c>
      <c r="B1" t="s">
        <v>1</v>
      </c>
      <c r="C1" t="s">
        <v>489</v>
      </c>
      <c r="D1" t="s">
        <v>488</v>
      </c>
      <c r="E1" t="s">
        <v>487</v>
      </c>
      <c r="F1" t="s">
        <v>486</v>
      </c>
      <c r="G1" t="s">
        <v>485</v>
      </c>
      <c r="H1" t="s">
        <v>375</v>
      </c>
    </row>
    <row r="2" spans="1:8" x14ac:dyDescent="0.3">
      <c r="A2" t="s">
        <v>421</v>
      </c>
      <c r="B2" t="s">
        <v>409</v>
      </c>
      <c r="C2">
        <v>2.2000000000000002</v>
      </c>
      <c r="D2">
        <v>12500</v>
      </c>
      <c r="E2">
        <v>50</v>
      </c>
      <c r="F2">
        <v>6</v>
      </c>
      <c r="G2">
        <v>60</v>
      </c>
      <c r="H2" t="s">
        <v>484</v>
      </c>
    </row>
    <row r="3" spans="1:8" x14ac:dyDescent="0.3">
      <c r="A3" t="s">
        <v>483</v>
      </c>
      <c r="B3" t="s">
        <v>409</v>
      </c>
      <c r="C3">
        <v>1.5</v>
      </c>
      <c r="D3">
        <v>5000</v>
      </c>
      <c r="E3">
        <v>50</v>
      </c>
      <c r="F3">
        <v>3</v>
      </c>
      <c r="G3">
        <v>60</v>
      </c>
      <c r="H3" t="s">
        <v>129</v>
      </c>
    </row>
    <row r="4" spans="1:8" x14ac:dyDescent="0.3">
      <c r="A4" t="s">
        <v>417</v>
      </c>
      <c r="B4" t="s">
        <v>44</v>
      </c>
      <c r="C4">
        <v>5.2</v>
      </c>
      <c r="D4">
        <v>95</v>
      </c>
      <c r="E4">
        <v>60</v>
      </c>
      <c r="F4">
        <v>5</v>
      </c>
      <c r="G4">
        <v>50</v>
      </c>
      <c r="H4" t="s">
        <v>482</v>
      </c>
    </row>
    <row r="5" spans="1:8" x14ac:dyDescent="0.3">
      <c r="A5" t="s">
        <v>415</v>
      </c>
      <c r="B5" t="s">
        <v>481</v>
      </c>
      <c r="C5">
        <v>1.5</v>
      </c>
      <c r="D5">
        <v>20</v>
      </c>
      <c r="E5">
        <v>30</v>
      </c>
      <c r="F5">
        <v>3</v>
      </c>
      <c r="G5">
        <v>70</v>
      </c>
      <c r="H5" t="s">
        <v>480</v>
      </c>
    </row>
    <row r="6" spans="1:8" x14ac:dyDescent="0.3">
      <c r="A6" t="s">
        <v>413</v>
      </c>
      <c r="B6" t="s">
        <v>44</v>
      </c>
      <c r="C6">
        <v>10</v>
      </c>
      <c r="D6">
        <v>120</v>
      </c>
      <c r="E6">
        <v>85</v>
      </c>
      <c r="F6">
        <v>7</v>
      </c>
      <c r="G6">
        <v>45</v>
      </c>
      <c r="H6" t="s">
        <v>479</v>
      </c>
    </row>
    <row r="7" spans="1:8" x14ac:dyDescent="0.3">
      <c r="A7" t="s">
        <v>478</v>
      </c>
      <c r="B7" t="s">
        <v>401</v>
      </c>
      <c r="C7">
        <v>7.5</v>
      </c>
      <c r="D7">
        <v>225</v>
      </c>
      <c r="E7">
        <v>90</v>
      </c>
      <c r="F7">
        <v>7</v>
      </c>
      <c r="G7">
        <v>30</v>
      </c>
      <c r="H7" t="s">
        <v>477</v>
      </c>
    </row>
    <row r="8" spans="1:8" x14ac:dyDescent="0.3">
      <c r="A8" t="s">
        <v>332</v>
      </c>
      <c r="B8" t="s">
        <v>44</v>
      </c>
      <c r="C8">
        <v>17.5</v>
      </c>
      <c r="D8">
        <v>55</v>
      </c>
      <c r="E8">
        <v>140</v>
      </c>
      <c r="F8">
        <v>9</v>
      </c>
      <c r="G8">
        <v>10</v>
      </c>
      <c r="H8" t="s">
        <v>476</v>
      </c>
    </row>
    <row r="9" spans="1:8" x14ac:dyDescent="0.3">
      <c r="A9" t="s">
        <v>475</v>
      </c>
      <c r="B9" t="s">
        <v>92</v>
      </c>
      <c r="C9">
        <v>15</v>
      </c>
      <c r="D9">
        <v>775</v>
      </c>
      <c r="E9">
        <v>120</v>
      </c>
      <c r="F9">
        <v>5</v>
      </c>
      <c r="G9">
        <v>40</v>
      </c>
      <c r="H9" t="s">
        <v>474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9119-5762-4CC6-986B-20D453FCEB78}">
  <dimension ref="A1:AA8"/>
  <sheetViews>
    <sheetView workbookViewId="0">
      <selection activeCell="B11" sqref="B11"/>
    </sheetView>
  </sheetViews>
  <sheetFormatPr defaultRowHeight="14.4" x14ac:dyDescent="0.3"/>
  <cols>
    <col min="1" max="27" width="15" customWidth="1"/>
  </cols>
  <sheetData>
    <row r="1" spans="1:27" x14ac:dyDescent="0.3">
      <c r="A1" t="s">
        <v>516</v>
      </c>
      <c r="B1" t="s">
        <v>455</v>
      </c>
      <c r="C1" t="s">
        <v>109</v>
      </c>
      <c r="D1" t="s">
        <v>515</v>
      </c>
      <c r="E1" t="s">
        <v>514</v>
      </c>
      <c r="F1" t="s">
        <v>513</v>
      </c>
      <c r="G1" t="s">
        <v>512</v>
      </c>
      <c r="H1" t="s">
        <v>511</v>
      </c>
      <c r="I1" t="s">
        <v>510</v>
      </c>
      <c r="J1" t="s">
        <v>509</v>
      </c>
      <c r="K1" t="s">
        <v>508</v>
      </c>
      <c r="L1" t="s">
        <v>507</v>
      </c>
      <c r="M1" t="s">
        <v>506</v>
      </c>
      <c r="N1" t="s">
        <v>505</v>
      </c>
      <c r="O1" t="s">
        <v>504</v>
      </c>
      <c r="P1" t="s">
        <v>503</v>
      </c>
      <c r="Q1" t="s">
        <v>502</v>
      </c>
      <c r="R1" t="s">
        <v>501</v>
      </c>
      <c r="S1" t="s">
        <v>500</v>
      </c>
      <c r="T1" t="s">
        <v>499</v>
      </c>
      <c r="U1" t="s">
        <v>498</v>
      </c>
      <c r="V1" t="s">
        <v>497</v>
      </c>
      <c r="W1" t="s">
        <v>496</v>
      </c>
      <c r="X1" t="s">
        <v>495</v>
      </c>
      <c r="Y1" t="s">
        <v>494</v>
      </c>
      <c r="Z1" t="s">
        <v>493</v>
      </c>
      <c r="AA1" t="s">
        <v>492</v>
      </c>
    </row>
    <row r="2" spans="1:27" x14ac:dyDescent="0.3">
      <c r="A2" t="s">
        <v>323</v>
      </c>
      <c r="B2" t="s">
        <v>436</v>
      </c>
      <c r="C2" t="s">
        <v>490</v>
      </c>
      <c r="D2">
        <v>180</v>
      </c>
      <c r="F2" t="s">
        <v>421</v>
      </c>
      <c r="G2">
        <v>0.8</v>
      </c>
      <c r="H2" t="s">
        <v>415</v>
      </c>
      <c r="I2">
        <v>0.2</v>
      </c>
      <c r="J2">
        <v>0.2</v>
      </c>
      <c r="K2" t="b">
        <v>0</v>
      </c>
      <c r="L2">
        <v>0</v>
      </c>
      <c r="M2">
        <f>IF(H2="", INDEX('Materials (2)'!C:C, MATCH(F2, 'Materials (2)'!A:A, 0)), INDEX('Materials (2)'!C:C, MATCH(F2, 'Materials (2)'!A:A, 0))*G2 + INDEX('Materials (2)'!C:C, MATCH(H2, 'Materials (2)'!A:A, 0))*I2)</f>
        <v>2.0600000000000005</v>
      </c>
      <c r="N2">
        <f>IF(H2="", INDEX('Materials (2)'!D:D, MATCH(F2, 'Materials (2)'!A:A, 0)), INDEX('Materials (2)'!D:D, MATCH(F2, 'Materials (2)'!A:A, 0))*G2 + INDEX('Materials (2)'!D:D, MATCH(H2, 'Materials (2)'!A:A, 0))*I2)</f>
        <v>10004</v>
      </c>
      <c r="O2">
        <f>IF(H2="", INDEX('Materials (2)'!E:E, MATCH(F2, 'Materials (2)'!A:A, 0)), INDEX('Materials (2)'!E:E, MATCH(F2, 'Materials (2)'!A:A, 0))*G2 + INDEX('Materials (2)'!E:E, MATCH(H2, 'Materials (2)'!A:A, 0))*I2)</f>
        <v>46</v>
      </c>
      <c r="P2">
        <f>IF(H2="", INDEX('Materials (2)'!F:F, MATCH(F2, 'Materials (2)'!A:A, 0)), INDEX('Materials (2)'!F:F, MATCH(F2, 'Materials (2)'!A:A, 0))*G2 + INDEX('Materials (2)'!F:F, MATCH(H2, 'Materials (2)'!A:A, 0))*I2)</f>
        <v>5.4</v>
      </c>
      <c r="Q2">
        <f>IF(H2="", INDEX('Materials (2)'!G:G, MATCH(F2, 'Materials (2)'!A:A, 0)), INDEX('Materials (2)'!G:G, MATCH(F2, 'Materials (2)'!A:A, 0))*G2 + INDEX('Materials (2)'!G:G, MATCH(H2, 'Materials (2)'!A:A, 0))*I2)</f>
        <v>62</v>
      </c>
      <c r="R2">
        <f>IF(M2="","", (D2/1000) * M2 * (1 + 2.5 * L2))</f>
        <v>0.37080000000000007</v>
      </c>
      <c r="S2">
        <f>IF(N2="","", (D2/1000) * N2)</f>
        <v>1800.72</v>
      </c>
      <c r="T2">
        <f>IF(O2="","", (D2/1000) * O2 * (1 + 2.5 * L2))</f>
        <v>8.2799999999999994</v>
      </c>
      <c r="U2">
        <f>IF(M2="","", MAX(0, MIN(100, (1 - ((M2 - 'Parameters (2)'!$B$8) / ('Parameters (2)'!$B$7 - 'Parameters (2)'!$B$8))) * 100)))</f>
        <v>96.566666666666663</v>
      </c>
      <c r="V2">
        <f>IF(N2="","", MAX(0, MIN(100, (1 - ((N2 - 'Parameters (2)'!$B$10) / ('Parameters (2)'!$B$9 - 'Parameters (2)'!$B$10))) * 100)))</f>
        <v>66.653333333333336</v>
      </c>
      <c r="W2">
        <f>IF(O2="","", MAX(0, MIN(100, (1 - ((O2 - 'Parameters (2)'!$B$12) / ('Parameters (2)'!$B$11 - 'Parameters (2)'!$B$12))) * 100)))</f>
        <v>88.5</v>
      </c>
      <c r="X2">
        <f>IF(P2="","", MAX(0, MIN(100, (1 - ((P2 - 'Parameters (2)'!$B$14) / ('Parameters (2)'!$B$13 - 'Parameters (2)'!$B$14))) * 100)))</f>
        <v>46</v>
      </c>
      <c r="Y2">
        <f>IF(Q2="","", Q2)</f>
        <v>62</v>
      </c>
      <c r="Z2">
        <f>IF(U2="","", U2*'Parameters (2)'!$B$2 + V2*'Parameters (2)'!$B$3 + W2*'Parameters (2)'!$B$4 + X2*'Parameters (2)'!$B$5 + Y2*'Parameters (2)'!$B$6)</f>
        <v>76.836666666666673</v>
      </c>
      <c r="AA2" t="str">
        <f>IF(Z2="","", IF(Z2&gt;=90,"A", IF(Z2&gt;=75,"B", IF(Z2&gt;=50,"C", IF(Z2&gt;=25,"D","E")))))</f>
        <v>B</v>
      </c>
    </row>
    <row r="3" spans="1:27" x14ac:dyDescent="0.3">
      <c r="A3" t="s">
        <v>325</v>
      </c>
      <c r="B3" t="s">
        <v>436</v>
      </c>
      <c r="C3" t="s">
        <v>483</v>
      </c>
      <c r="D3">
        <v>800</v>
      </c>
      <c r="F3" t="s">
        <v>483</v>
      </c>
      <c r="G3">
        <v>1</v>
      </c>
      <c r="I3">
        <v>0</v>
      </c>
      <c r="J3">
        <v>0</v>
      </c>
      <c r="K3" t="b">
        <v>0</v>
      </c>
      <c r="L3">
        <v>0</v>
      </c>
      <c r="M3">
        <f>IF(H3="", INDEX('Materials (2)'!C:C, MATCH(F3, 'Materials (2)'!A:A, 0)), INDEX('Materials (2)'!C:C, MATCH(F3, 'Materials (2)'!A:A, 0))*G3 + INDEX('Materials (2)'!C:C, MATCH(H3, 'Materials (2)'!A:A, 0))*I3)</f>
        <v>1.5</v>
      </c>
      <c r="N3">
        <f>IF(H3="", INDEX('Materials (2)'!D:D, MATCH(F3, 'Materials (2)'!A:A, 0)), INDEX('Materials (2)'!D:D, MATCH(F3, 'Materials (2)'!A:A, 0))*G3 + INDEX('Materials (2)'!D:D, MATCH(H3, 'Materials (2)'!A:A, 0))*I3)</f>
        <v>5000</v>
      </c>
      <c r="O3">
        <f>IF(H3="", INDEX('Materials (2)'!E:E, MATCH(F3, 'Materials (2)'!A:A, 0)), INDEX('Materials (2)'!E:E, MATCH(F3, 'Materials (2)'!A:A, 0))*G3 + INDEX('Materials (2)'!E:E, MATCH(H3, 'Materials (2)'!A:A, 0))*I3)</f>
        <v>50</v>
      </c>
      <c r="P3">
        <f>IF(H3="", INDEX('Materials (2)'!F:F, MATCH(F3, 'Materials (2)'!A:A, 0)), INDEX('Materials (2)'!F:F, MATCH(F3, 'Materials (2)'!A:A, 0))*G3 + INDEX('Materials (2)'!F:F, MATCH(H3, 'Materials (2)'!A:A, 0))*I3)</f>
        <v>3</v>
      </c>
      <c r="Q3">
        <f>IF(H3="", INDEX('Materials (2)'!G:G, MATCH(F3, 'Materials (2)'!A:A, 0)), INDEX('Materials (2)'!G:G, MATCH(F3, 'Materials (2)'!A:A, 0))*G3 + INDEX('Materials (2)'!G:G, MATCH(H3, 'Materials (2)'!A:A, 0))*I3)</f>
        <v>60</v>
      </c>
      <c r="R3">
        <f>IF(M3="","", (D3/1000) * M3 * (1 + 2.5 * L3))</f>
        <v>1.2000000000000002</v>
      </c>
      <c r="S3">
        <f>IF(N3="","", (D3/1000) * N3)</f>
        <v>4000</v>
      </c>
      <c r="T3">
        <f>IF(O3="","", (D3/1000) * O3 * (1 + 2.5 * L3))</f>
        <v>40</v>
      </c>
      <c r="U3">
        <f>IF(M3="","", MAX(0, MIN(100, (1 - ((M3 - 'Parameters (2)'!$B$8) / ('Parameters (2)'!$B$7 - 'Parameters (2)'!$B$8))) * 100)))</f>
        <v>97.5</v>
      </c>
      <c r="V3">
        <f>IF(N3="","", MAX(0, MIN(100, (1 - ((N3 - 'Parameters (2)'!$B$10) / ('Parameters (2)'!$B$9 - 'Parameters (2)'!$B$10))) * 100)))</f>
        <v>83.333333333333343</v>
      </c>
      <c r="W3">
        <f>IF(O3="","", MAX(0, MIN(100, (1 - ((O3 - 'Parameters (2)'!$B$12) / ('Parameters (2)'!$B$11 - 'Parameters (2)'!$B$12))) * 100)))</f>
        <v>87.5</v>
      </c>
      <c r="X3">
        <f>IF(P3="","", MAX(0, MIN(100, (1 - ((P3 - 'Parameters (2)'!$B$14) / ('Parameters (2)'!$B$13 - 'Parameters (2)'!$B$14))) * 100)))</f>
        <v>70</v>
      </c>
      <c r="Y3">
        <f>IF(Q3="","", Q3)</f>
        <v>60</v>
      </c>
      <c r="Z3">
        <f>IF(U3="","", U3*'Parameters (2)'!$B$2 + V3*'Parameters (2)'!$B$3 + W3*'Parameters (2)'!$B$4 + X3*'Parameters (2)'!$B$5 + Y3*'Parameters (2)'!$B$6)</f>
        <v>84.583333333333343</v>
      </c>
      <c r="AA3" t="str">
        <f>IF(Z3="","", IF(Z3&gt;=90,"A", IF(Z3&gt;=75,"B", IF(Z3&gt;=50,"C", IF(Z3&gt;=25,"D","E")))))</f>
        <v>B</v>
      </c>
    </row>
    <row r="4" spans="1:27" x14ac:dyDescent="0.3">
      <c r="A4" t="s">
        <v>428</v>
      </c>
      <c r="B4" t="s">
        <v>436</v>
      </c>
      <c r="C4" t="s">
        <v>415</v>
      </c>
      <c r="D4">
        <v>400</v>
      </c>
      <c r="F4" t="s">
        <v>415</v>
      </c>
      <c r="G4">
        <v>1</v>
      </c>
      <c r="I4">
        <v>0</v>
      </c>
      <c r="J4">
        <v>0</v>
      </c>
      <c r="K4" t="b">
        <v>0</v>
      </c>
      <c r="L4">
        <v>0</v>
      </c>
      <c r="M4">
        <f>IF(H4="", INDEX('Materials (2)'!C:C, MATCH(F4, 'Materials (2)'!A:A, 0)), INDEX('Materials (2)'!C:C, MATCH(F4, 'Materials (2)'!A:A, 0))*G4 + INDEX('Materials (2)'!C:C, MATCH(H4, 'Materials (2)'!A:A, 0))*I4)</f>
        <v>1.5</v>
      </c>
      <c r="N4">
        <f>IF(H4="", INDEX('Materials (2)'!D:D, MATCH(F4, 'Materials (2)'!A:A, 0)), INDEX('Materials (2)'!D:D, MATCH(F4, 'Materials (2)'!A:A, 0))*G4 + INDEX('Materials (2)'!D:D, MATCH(H4, 'Materials (2)'!A:A, 0))*I4)</f>
        <v>20</v>
      </c>
      <c r="O4">
        <f>IF(H4="", INDEX('Materials (2)'!E:E, MATCH(F4, 'Materials (2)'!A:A, 0)), INDEX('Materials (2)'!E:E, MATCH(F4, 'Materials (2)'!A:A, 0))*G4 + INDEX('Materials (2)'!E:E, MATCH(H4, 'Materials (2)'!A:A, 0))*I4)</f>
        <v>30</v>
      </c>
      <c r="P4">
        <f>IF(H4="", INDEX('Materials (2)'!F:F, MATCH(F4, 'Materials (2)'!A:A, 0)), INDEX('Materials (2)'!F:F, MATCH(F4, 'Materials (2)'!A:A, 0))*G4 + INDEX('Materials (2)'!F:F, MATCH(H4, 'Materials (2)'!A:A, 0))*I4)</f>
        <v>3</v>
      </c>
      <c r="Q4">
        <f>IF(H4="", INDEX('Materials (2)'!G:G, MATCH(F4, 'Materials (2)'!A:A, 0)), INDEX('Materials (2)'!G:G, MATCH(F4, 'Materials (2)'!A:A, 0))*G4 + INDEX('Materials (2)'!G:G, MATCH(H4, 'Materials (2)'!A:A, 0))*I4)</f>
        <v>70</v>
      </c>
      <c r="R4">
        <f>IF(M4="","", (D4/1000) * M4 * (1 + 2.5 * L4))</f>
        <v>0.60000000000000009</v>
      </c>
      <c r="S4">
        <f>IF(N4="","", (D4/1000) * N4)</f>
        <v>8</v>
      </c>
      <c r="T4">
        <f>IF(O4="","", (D4/1000) * O4 * (1 + 2.5 * L4))</f>
        <v>12</v>
      </c>
      <c r="U4">
        <f>IF(M4="","", MAX(0, MIN(100, (1 - ((M4 - 'Parameters (2)'!$B$8) / ('Parameters (2)'!$B$7 - 'Parameters (2)'!$B$8))) * 100)))</f>
        <v>97.5</v>
      </c>
      <c r="V4">
        <f>IF(N4="","", MAX(0, MIN(100, (1 - ((N4 - 'Parameters (2)'!$B$10) / ('Parameters (2)'!$B$9 - 'Parameters (2)'!$B$10))) * 100)))</f>
        <v>99.933333333333323</v>
      </c>
      <c r="W4">
        <f>IF(O4="","", MAX(0, MIN(100, (1 - ((O4 - 'Parameters (2)'!$B$12) / ('Parameters (2)'!$B$11 - 'Parameters (2)'!$B$12))) * 100)))</f>
        <v>92.5</v>
      </c>
      <c r="X4">
        <f>IF(P4="","", MAX(0, MIN(100, (1 - ((P4 - 'Parameters (2)'!$B$14) / ('Parameters (2)'!$B$13 - 'Parameters (2)'!$B$14))) * 100)))</f>
        <v>70</v>
      </c>
      <c r="Y4">
        <f>IF(Q4="","", Q4)</f>
        <v>70</v>
      </c>
      <c r="Z4">
        <f>IF(U4="","", U4*'Parameters (2)'!$B$2 + V4*'Parameters (2)'!$B$3 + W4*'Parameters (2)'!$B$4 + X4*'Parameters (2)'!$B$5 + Y4*'Parameters (2)'!$B$6)</f>
        <v>90.483333333333334</v>
      </c>
      <c r="AA4" t="str">
        <f>IF(Z4="","", IF(Z4&gt;=90,"A", IF(Z4&gt;=75,"B", IF(Z4&gt;=50,"C", IF(Z4&gt;=25,"D","E")))))</f>
        <v>A</v>
      </c>
    </row>
    <row r="5" spans="1:27" x14ac:dyDescent="0.3">
      <c r="A5" t="s">
        <v>427</v>
      </c>
      <c r="B5" t="s">
        <v>435</v>
      </c>
      <c r="C5" t="s">
        <v>491</v>
      </c>
      <c r="D5">
        <v>600</v>
      </c>
      <c r="F5" t="s">
        <v>413</v>
      </c>
      <c r="G5">
        <v>0.77</v>
      </c>
      <c r="H5" t="s">
        <v>478</v>
      </c>
      <c r="I5">
        <v>0.23</v>
      </c>
      <c r="J5">
        <v>0</v>
      </c>
      <c r="K5" t="b">
        <v>1</v>
      </c>
      <c r="L5">
        <v>0</v>
      </c>
      <c r="M5">
        <f>IF(H5="", INDEX('Materials (2)'!C:C, MATCH(F5, 'Materials (2)'!A:A, 0)), INDEX('Materials (2)'!C:C, MATCH(F5, 'Materials (2)'!A:A, 0))*G5 + INDEX('Materials (2)'!C:C, MATCH(H5, 'Materials (2)'!A:A, 0))*I5)</f>
        <v>9.4250000000000007</v>
      </c>
      <c r="N5">
        <f>IF(H5="", INDEX('Materials (2)'!D:D, MATCH(F5, 'Materials (2)'!A:A, 0)), INDEX('Materials (2)'!D:D, MATCH(F5, 'Materials (2)'!A:A, 0))*G5 + INDEX('Materials (2)'!D:D, MATCH(H5, 'Materials (2)'!A:A, 0))*I5)</f>
        <v>144.15</v>
      </c>
      <c r="O5">
        <f>IF(H5="", INDEX('Materials (2)'!E:E, MATCH(F5, 'Materials (2)'!A:A, 0)), INDEX('Materials (2)'!E:E, MATCH(F5, 'Materials (2)'!A:A, 0))*G5 + INDEX('Materials (2)'!E:E, MATCH(H5, 'Materials (2)'!A:A, 0))*I5)</f>
        <v>86.15</v>
      </c>
      <c r="P5">
        <f>IF(H5="", INDEX('Materials (2)'!F:F, MATCH(F5, 'Materials (2)'!A:A, 0)), INDEX('Materials (2)'!F:F, MATCH(F5, 'Materials (2)'!A:A, 0))*G5 + INDEX('Materials (2)'!F:F, MATCH(H5, 'Materials (2)'!A:A, 0))*I5)</f>
        <v>7.0000000000000009</v>
      </c>
      <c r="Q5">
        <f>IF(H5="", INDEX('Materials (2)'!G:G, MATCH(F5, 'Materials (2)'!A:A, 0)), INDEX('Materials (2)'!G:G, MATCH(F5, 'Materials (2)'!A:A, 0))*G5 + INDEX('Materials (2)'!G:G, MATCH(H5, 'Materials (2)'!A:A, 0))*I5)</f>
        <v>41.55</v>
      </c>
      <c r="R5">
        <f>IF(M5="","", (D5/1000) * M5 * (1 + 2.5 * L5))</f>
        <v>5.6550000000000002</v>
      </c>
      <c r="S5">
        <f>IF(N5="","", (D5/1000) * N5)</f>
        <v>86.49</v>
      </c>
      <c r="T5">
        <f>IF(O5="","", (D5/1000) * O5 * (1 + 2.5 * L5))</f>
        <v>51.690000000000005</v>
      </c>
      <c r="U5">
        <f>IF(M5="","", MAX(0, MIN(100, (1 - ((M5 - 'Parameters (2)'!$B$8) / ('Parameters (2)'!$B$7 - 'Parameters (2)'!$B$8))) * 100)))</f>
        <v>84.291666666666671</v>
      </c>
      <c r="V5">
        <f>IF(N5="","", MAX(0, MIN(100, (1 - ((N5 - 'Parameters (2)'!$B$10) / ('Parameters (2)'!$B$9 - 'Parameters (2)'!$B$10))) * 100)))</f>
        <v>99.519500000000008</v>
      </c>
      <c r="W5">
        <f>IF(O5="","", MAX(0, MIN(100, (1 - ((O5 - 'Parameters (2)'!$B$12) / ('Parameters (2)'!$B$11 - 'Parameters (2)'!$B$12))) * 100)))</f>
        <v>78.462500000000006</v>
      </c>
      <c r="X5">
        <f>IF(P5="","", MAX(0, MIN(100, (1 - ((P5 - 'Parameters (2)'!$B$14) / ('Parameters (2)'!$B$13 - 'Parameters (2)'!$B$14))) * 100)))</f>
        <v>29.999999999999993</v>
      </c>
      <c r="Y5">
        <f>IF(Q5="","", Q5)</f>
        <v>41.55</v>
      </c>
      <c r="Z5">
        <f>IF(U5="","", U5*'Parameters (2)'!$B$2 + V5*'Parameters (2)'!$B$3 + W5*'Parameters (2)'!$B$4 + X5*'Parameters (2)'!$B$5 + Y5*'Parameters (2)'!$B$6)</f>
        <v>74.806333333333328</v>
      </c>
      <c r="AA5" t="str">
        <f>IF(Z5="","", IF(Z5&gt;=90,"A", IF(Z5&gt;=75,"B", IF(Z5&gt;=50,"C", IF(Z5&gt;=25,"D","E")))))</f>
        <v>C</v>
      </c>
    </row>
    <row r="6" spans="1:27" x14ac:dyDescent="0.3">
      <c r="A6" t="s">
        <v>427</v>
      </c>
      <c r="B6" t="s">
        <v>434</v>
      </c>
      <c r="C6" t="s">
        <v>413</v>
      </c>
      <c r="D6">
        <v>150</v>
      </c>
      <c r="F6" t="s">
        <v>413</v>
      </c>
      <c r="G6">
        <v>1</v>
      </c>
      <c r="I6">
        <v>0</v>
      </c>
      <c r="J6" t="b">
        <v>0</v>
      </c>
      <c r="K6">
        <v>0</v>
      </c>
      <c r="M6">
        <f>IF(H6="", INDEX('Materials (2)'!C:C, MATCH(F6, 'Materials (2)'!A:A, 0)), INDEX('Materials (2)'!C:C, MATCH(F6, 'Materials (2)'!A:A, 0))*G6 + INDEX('Materials (2)'!C:C, MATCH(H6, 'Materials (2)'!A:A, 0))*I6)</f>
        <v>10</v>
      </c>
      <c r="N6">
        <f>IF(H6="", INDEX('Materials (2)'!D:D, MATCH(F6, 'Materials (2)'!A:A, 0)), INDEX('Materials (2)'!D:D, MATCH(F6, 'Materials (2)'!A:A, 0))*G6 + INDEX('Materials (2)'!D:D, MATCH(H6, 'Materials (2)'!A:A, 0))*I6)</f>
        <v>120</v>
      </c>
      <c r="O6">
        <f>IF(H6="", INDEX('Materials (2)'!E:E, MATCH(F6, 'Materials (2)'!A:A, 0)), INDEX('Materials (2)'!E:E, MATCH(F6, 'Materials (2)'!A:A, 0))*G6 + INDEX('Materials (2)'!E:E, MATCH(H6, 'Materials (2)'!A:A, 0))*I6)</f>
        <v>85</v>
      </c>
      <c r="P6">
        <f>IF(H6="", INDEX('Materials (2)'!F:F, MATCH(F6, 'Materials (2)'!A:A, 0)), INDEX('Materials (2)'!F:F, MATCH(F6, 'Materials (2)'!A:A, 0))*G6 + INDEX('Materials (2)'!F:F, MATCH(H6, 'Materials (2)'!A:A, 0))*I6)</f>
        <v>7</v>
      </c>
      <c r="Q6">
        <f>IF(H6="", INDEX('Materials (2)'!G:G, MATCH(F6, 'Materials (2)'!A:A, 0)), INDEX('Materials (2)'!G:G, MATCH(F6, 'Materials (2)'!A:A, 0))*G6 + INDEX('Materials (2)'!G:G, MATCH(H6, 'Materials (2)'!A:A, 0))*I6)</f>
        <v>45</v>
      </c>
      <c r="R6">
        <f>IF(M6="","", (D6/1000) * M6 * (1 + 2.5 * L6))</f>
        <v>1.5</v>
      </c>
      <c r="S6">
        <f>IF(N6="","", (D6/1000) * N6)</f>
        <v>18</v>
      </c>
      <c r="T6">
        <f>IF(O6="","", (D6/1000) * O6 * (1 + 2.5 * L6))</f>
        <v>12.75</v>
      </c>
      <c r="U6">
        <f>IF(M6="","", MAX(0, MIN(100, (1 - ((M6 - 'Parameters (2)'!$B$8) / ('Parameters (2)'!$B$7 - 'Parameters (2)'!$B$8))) * 100)))</f>
        <v>83.333333333333343</v>
      </c>
      <c r="V6">
        <f>IF(N6="","", MAX(0, MIN(100, (1 - ((N6 - 'Parameters (2)'!$B$10) / ('Parameters (2)'!$B$9 - 'Parameters (2)'!$B$10))) * 100)))</f>
        <v>99.6</v>
      </c>
      <c r="W6">
        <f>IF(O6="","", MAX(0, MIN(100, (1 - ((O6 - 'Parameters (2)'!$B$12) / ('Parameters (2)'!$B$11 - 'Parameters (2)'!$B$12))) * 100)))</f>
        <v>78.75</v>
      </c>
      <c r="X6">
        <f>IF(P6="","", MAX(0, MIN(100, (1 - ((P6 - 'Parameters (2)'!$B$14) / ('Parameters (2)'!$B$13 - 'Parameters (2)'!$B$14))) * 100)))</f>
        <v>30.000000000000004</v>
      </c>
      <c r="Y6">
        <f>IF(Q6="","", Q6)</f>
        <v>45</v>
      </c>
      <c r="Z6">
        <f>IF(U6="","", U6*'Parameters (2)'!$B$2 + V6*'Parameters (2)'!$B$3 + W6*'Parameters (2)'!$B$4 + X6*'Parameters (2)'!$B$5 + Y6*'Parameters (2)'!$B$6)</f>
        <v>74.879166666666663</v>
      </c>
      <c r="AA6" t="str">
        <f>IF(Z6="","", IF(Z6&gt;=90,"A", IF(Z6&gt;=75,"B", IF(Z6&gt;=50,"C", IF(Z6&gt;=25,"D","E")))))</f>
        <v>C</v>
      </c>
    </row>
    <row r="7" spans="1:27" x14ac:dyDescent="0.3">
      <c r="A7" t="s">
        <v>427</v>
      </c>
      <c r="B7" t="s">
        <v>433</v>
      </c>
      <c r="C7" t="s">
        <v>92</v>
      </c>
      <c r="D7">
        <v>30</v>
      </c>
      <c r="F7" t="s">
        <v>475</v>
      </c>
      <c r="G7">
        <v>1</v>
      </c>
      <c r="I7">
        <v>0</v>
      </c>
      <c r="J7" t="b">
        <v>0</v>
      </c>
      <c r="K7">
        <v>0</v>
      </c>
      <c r="M7">
        <f>IF(H7="", INDEX('Materials (2)'!C:C, MATCH(F7, 'Materials (2)'!A:A, 0)), INDEX('Materials (2)'!C:C, MATCH(F7, 'Materials (2)'!A:A, 0))*G7 + INDEX('Materials (2)'!C:C, MATCH(H7, 'Materials (2)'!A:A, 0))*I7)</f>
        <v>15</v>
      </c>
      <c r="N7">
        <f>IF(H7="", INDEX('Materials (2)'!D:D, MATCH(F7, 'Materials (2)'!A:A, 0)), INDEX('Materials (2)'!D:D, MATCH(F7, 'Materials (2)'!A:A, 0))*G7 + INDEX('Materials (2)'!D:D, MATCH(H7, 'Materials (2)'!A:A, 0))*I7)</f>
        <v>775</v>
      </c>
      <c r="O7">
        <f>IF(H7="", INDEX('Materials (2)'!E:E, MATCH(F7, 'Materials (2)'!A:A, 0)), INDEX('Materials (2)'!E:E, MATCH(F7, 'Materials (2)'!A:A, 0))*G7 + INDEX('Materials (2)'!E:E, MATCH(H7, 'Materials (2)'!A:A, 0))*I7)</f>
        <v>120</v>
      </c>
      <c r="P7">
        <f>IF(H7="", INDEX('Materials (2)'!F:F, MATCH(F7, 'Materials (2)'!A:A, 0)), INDEX('Materials (2)'!F:F, MATCH(F7, 'Materials (2)'!A:A, 0))*G7 + INDEX('Materials (2)'!F:F, MATCH(H7, 'Materials (2)'!A:A, 0))*I7)</f>
        <v>5</v>
      </c>
      <c r="Q7">
        <f>IF(H7="", INDEX('Materials (2)'!G:G, MATCH(F7, 'Materials (2)'!A:A, 0)), INDEX('Materials (2)'!G:G, MATCH(F7, 'Materials (2)'!A:A, 0))*G7 + INDEX('Materials (2)'!G:G, MATCH(H7, 'Materials (2)'!A:A, 0))*I7)</f>
        <v>40</v>
      </c>
      <c r="R7">
        <f>IF(M7="","", (D7/1000) * M7 * (1 + 2.5 * L7))</f>
        <v>0.44999999999999996</v>
      </c>
      <c r="S7">
        <f>IF(N7="","", (D7/1000) * N7)</f>
        <v>23.25</v>
      </c>
      <c r="T7">
        <f>IF(O7="","", (D7/1000) * O7 * (1 + 2.5 * L7))</f>
        <v>3.5999999999999996</v>
      </c>
      <c r="U7">
        <f>IF(M7="","", MAX(0, MIN(100, (1 - ((M7 - 'Parameters (2)'!$B$8) / ('Parameters (2)'!$B$7 - 'Parameters (2)'!$B$8))) * 100)))</f>
        <v>75</v>
      </c>
      <c r="V7">
        <f>IF(N7="","", MAX(0, MIN(100, (1 - ((N7 - 'Parameters (2)'!$B$10) / ('Parameters (2)'!$B$9 - 'Parameters (2)'!$B$10))) * 100)))</f>
        <v>97.416666666666657</v>
      </c>
      <c r="W7">
        <f>IF(O7="","", MAX(0, MIN(100, (1 - ((O7 - 'Parameters (2)'!$B$12) / ('Parameters (2)'!$B$11 - 'Parameters (2)'!$B$12))) * 100)))</f>
        <v>70</v>
      </c>
      <c r="X7">
        <f>IF(P7="","", MAX(0, MIN(100, (1 - ((P7 - 'Parameters (2)'!$B$14) / ('Parameters (2)'!$B$13 - 'Parameters (2)'!$B$14))) * 100)))</f>
        <v>50</v>
      </c>
      <c r="Y7">
        <f>IF(Q7="","", Q7)</f>
        <v>40</v>
      </c>
      <c r="Z7">
        <f>IF(U7="","", U7*'Parameters (2)'!$B$2 + V7*'Parameters (2)'!$B$3 + W7*'Parameters (2)'!$B$4 + X7*'Parameters (2)'!$B$5 + Y7*'Parameters (2)'!$B$6)</f>
        <v>72.604166666666657</v>
      </c>
      <c r="AA7" t="str">
        <f>IF(Z7="","", IF(Z7&gt;=90,"A", IF(Z7&gt;=75,"B", IF(Z7&gt;=50,"C", IF(Z7&gt;=25,"D","E")))))</f>
        <v>C</v>
      </c>
    </row>
    <row r="8" spans="1:27" x14ac:dyDescent="0.3">
      <c r="A8" t="s">
        <v>331</v>
      </c>
      <c r="B8" t="s">
        <v>436</v>
      </c>
      <c r="C8" t="s">
        <v>490</v>
      </c>
      <c r="D8">
        <v>220</v>
      </c>
      <c r="F8" t="s">
        <v>415</v>
      </c>
      <c r="G8">
        <v>0.8</v>
      </c>
      <c r="H8" t="s">
        <v>332</v>
      </c>
      <c r="I8">
        <v>0.2</v>
      </c>
      <c r="J8">
        <v>0</v>
      </c>
      <c r="K8" t="b">
        <v>0</v>
      </c>
      <c r="L8">
        <v>0.2</v>
      </c>
      <c r="M8">
        <f>IF(H8="", INDEX('Materials (2)'!C:C, MATCH(F8, 'Materials (2)'!A:A, 0)), INDEX('Materials (2)'!C:C, MATCH(F8, 'Materials (2)'!A:A, 0))*G8 + INDEX('Materials (2)'!C:C, MATCH(H8, 'Materials (2)'!A:A, 0))*I8)</f>
        <v>4.7</v>
      </c>
      <c r="N8">
        <f>IF(H8="", INDEX('Materials (2)'!D:D, MATCH(F8, 'Materials (2)'!A:A, 0)), INDEX('Materials (2)'!D:D, MATCH(F8, 'Materials (2)'!A:A, 0))*G8 + INDEX('Materials (2)'!D:D, MATCH(H8, 'Materials (2)'!A:A, 0))*I8)</f>
        <v>27</v>
      </c>
      <c r="O8">
        <f>IF(H8="", INDEX('Materials (2)'!E:E, MATCH(F8, 'Materials (2)'!A:A, 0)), INDEX('Materials (2)'!E:E, MATCH(F8, 'Materials (2)'!A:A, 0))*G8 + INDEX('Materials (2)'!E:E, MATCH(H8, 'Materials (2)'!A:A, 0))*I8)</f>
        <v>52</v>
      </c>
      <c r="P8">
        <f>IF(H8="", INDEX('Materials (2)'!F:F, MATCH(F8, 'Materials (2)'!A:A, 0)), INDEX('Materials (2)'!F:F, MATCH(F8, 'Materials (2)'!A:A, 0))*G8 + INDEX('Materials (2)'!F:F, MATCH(H8, 'Materials (2)'!A:A, 0))*I8)</f>
        <v>4.2</v>
      </c>
      <c r="Q8">
        <f>IF(H8="", INDEX('Materials (2)'!G:G, MATCH(F8, 'Materials (2)'!A:A, 0)), INDEX('Materials (2)'!G:G, MATCH(F8, 'Materials (2)'!A:A, 0))*G8 + INDEX('Materials (2)'!G:G, MATCH(H8, 'Materials (2)'!A:A, 0))*I8)</f>
        <v>58</v>
      </c>
      <c r="R8">
        <f>IF(M8="","", (D8/1000) * M8 * (1 + 2.5 * L8))</f>
        <v>1.5510000000000002</v>
      </c>
      <c r="S8">
        <f>IF(N8="","", (D8/1000) * N8)</f>
        <v>5.94</v>
      </c>
      <c r="T8">
        <f>IF(O8="","", (D8/1000) * O8 * (1 + 2.5 * L8))</f>
        <v>17.16</v>
      </c>
      <c r="U8">
        <f>IF(M8="","", MAX(0, MIN(100, (1 - ((M8 - 'Parameters (2)'!$B$8) / ('Parameters (2)'!$B$7 - 'Parameters (2)'!$B$8))) * 100)))</f>
        <v>92.166666666666657</v>
      </c>
      <c r="V8">
        <f>IF(N8="","", MAX(0, MIN(100, (1 - ((N8 - 'Parameters (2)'!$B$10) / ('Parameters (2)'!$B$9 - 'Parameters (2)'!$B$10))) * 100)))</f>
        <v>99.91</v>
      </c>
      <c r="W8">
        <f>IF(O8="","", MAX(0, MIN(100, (1 - ((O8 - 'Parameters (2)'!$B$12) / ('Parameters (2)'!$B$11 - 'Parameters (2)'!$B$12))) * 100)))</f>
        <v>87</v>
      </c>
      <c r="X8">
        <f>IF(P8="","", MAX(0, MIN(100, (1 - ((P8 - 'Parameters (2)'!$B$14) / ('Parameters (2)'!$B$13 - 'Parameters (2)'!$B$14))) * 100)))</f>
        <v>57.999999999999993</v>
      </c>
      <c r="Y8">
        <f>IF(Q8="","", Q8)</f>
        <v>58</v>
      </c>
      <c r="Z8">
        <f>IF(U8="","", U8*'Parameters (2)'!$B$2 + V8*'Parameters (2)'!$B$3 + W8*'Parameters (2)'!$B$4 + X8*'Parameters (2)'!$B$5 + Y8*'Parameters (2)'!$B$6)</f>
        <v>84.785833333333329</v>
      </c>
      <c r="AA8" t="str">
        <f>IF(Z8="","", IF(Z8&gt;=90,"A", IF(Z8&gt;=75,"B", IF(Z8&gt;=50,"C", IF(Z8&gt;=25,"D","E")))))</f>
        <v>B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7959-44D3-4D33-B283-2315599D0FE0}">
  <dimension ref="A1:B6"/>
  <sheetViews>
    <sheetView tabSelected="1" workbookViewId="0">
      <selection activeCell="B11" sqref="B11"/>
    </sheetView>
  </sheetViews>
  <sheetFormatPr defaultRowHeight="14.4" x14ac:dyDescent="0.3"/>
  <sheetData>
    <row r="1" spans="1:2" x14ac:dyDescent="0.3">
      <c r="A1" t="s">
        <v>516</v>
      </c>
      <c r="B1" t="s">
        <v>523</v>
      </c>
    </row>
    <row r="2" spans="1:2" x14ac:dyDescent="0.3">
      <c r="A2" t="s">
        <v>323</v>
      </c>
      <c r="B2" t="s">
        <v>522</v>
      </c>
    </row>
    <row r="3" spans="1:2" x14ac:dyDescent="0.3">
      <c r="A3" t="s">
        <v>325</v>
      </c>
      <c r="B3" t="s">
        <v>521</v>
      </c>
    </row>
    <row r="4" spans="1:2" x14ac:dyDescent="0.3">
      <c r="A4" t="s">
        <v>428</v>
      </c>
      <c r="B4" t="s">
        <v>520</v>
      </c>
    </row>
    <row r="5" spans="1:2" x14ac:dyDescent="0.3">
      <c r="A5" t="s">
        <v>519</v>
      </c>
      <c r="B5" t="s">
        <v>518</v>
      </c>
    </row>
    <row r="6" spans="1:2" x14ac:dyDescent="0.3">
      <c r="A6" t="s">
        <v>331</v>
      </c>
      <c r="B6" t="s">
        <v>517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5AB6-43F4-43AF-8C23-0D396B13B06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first</vt:lpstr>
      <vt:lpstr>Material  list</vt:lpstr>
      <vt:lpstr>LCA results</vt:lpstr>
      <vt:lpstr>Garmet comparison</vt:lpstr>
      <vt:lpstr>Parameters</vt:lpstr>
      <vt:lpstr>Sources</vt:lpstr>
      <vt:lpstr>Materials</vt:lpstr>
      <vt:lpstr>Garments</vt:lpstr>
      <vt:lpstr>Parameters (2)</vt:lpstr>
      <vt:lpstr>Materials (2)</vt:lpstr>
      <vt:lpstr>Sample_Products</vt:lpstr>
      <vt:lpstr>Examples_Notes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Toghani</dc:creator>
  <cp:lastModifiedBy>Hami Nejad</cp:lastModifiedBy>
  <cp:lastPrinted>2025-12-06T13:06:12Z</cp:lastPrinted>
  <dcterms:created xsi:type="dcterms:W3CDTF">2025-12-06T12:59:34Z</dcterms:created>
  <dcterms:modified xsi:type="dcterms:W3CDTF">2025-12-11T21:22:43Z</dcterms:modified>
</cp:coreProperties>
</file>